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\Teaching\Investments 2025\HOE\Performance Evaluation\"/>
    </mc:Choice>
  </mc:AlternateContent>
  <xr:revisionPtr revIDLastSave="0" documentId="13_ncr:1_{2170311D-4A03-43B9-B84B-9CD230A3C7E9}" xr6:coauthVersionLast="47" xr6:coauthVersionMax="47" xr10:uidLastSave="{00000000-0000-0000-0000-000000000000}"/>
  <bookViews>
    <workbookView xWindow="-110" yWindow="-110" windowWidth="19420" windowHeight="10300" xr2:uid="{34638D6B-4221-4565-984F-D29B4D62BF2F}"/>
  </bookViews>
  <sheets>
    <sheet name="Data" sheetId="4" r:id="rId1"/>
    <sheet name="Definitions" sheetId="3" r:id="rId2"/>
    <sheet name="LCGFX style-analysis" sheetId="34" r:id="rId3"/>
    <sheet name="MRLIX style-analysis" sheetId="38" r:id="rId4"/>
  </sheets>
  <definedNames>
    <definedName name="solver_cvg" localSheetId="2" hidden="1">0.0001</definedName>
    <definedName name="solver_drv" localSheetId="2" hidden="1">2</definedName>
    <definedName name="solver_eng" localSheetId="2" hidden="1">1</definedName>
    <definedName name="solver_eng" localSheetId="3" hidden="1">1</definedName>
    <definedName name="solver_est" localSheetId="2" hidden="1">1</definedName>
    <definedName name="solver_itr" localSheetId="2" hidden="1">2147483647</definedName>
    <definedName name="solver_lhs1" localSheetId="2" hidden="1">'LCGFX style-analysis'!$B$2:$J$2</definedName>
    <definedName name="solver_lhs2" localSheetId="2" hidden="1">'LCGFX style-analysis'!$B$2:$J$2</definedName>
    <definedName name="solver_lhs3" localSheetId="2" hidden="1">'LCGFX style-analysis'!$K$2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eg" localSheetId="3" hidden="1">1</definedName>
    <definedName name="solver_nod" localSheetId="2" hidden="1">2147483647</definedName>
    <definedName name="solver_num" localSheetId="2" hidden="1">0</definedName>
    <definedName name="solver_num" localSheetId="3" hidden="1">0</definedName>
    <definedName name="solver_nwt" localSheetId="2" hidden="1">1</definedName>
    <definedName name="solver_opt" localSheetId="3" hidden="1">'MRLIX style-analysis'!$A$1</definedName>
    <definedName name="solver_pre" localSheetId="2" hidden="1">0.000001</definedName>
    <definedName name="solver_rbv" localSheetId="2" hidden="1">2</definedName>
    <definedName name="solver_rel1" localSheetId="2" hidden="1">1</definedName>
    <definedName name="solver_rel2" localSheetId="2" hidden="1">3</definedName>
    <definedName name="solver_rel3" localSheetId="2" hidden="1">2</definedName>
    <definedName name="solver_rhs1" localSheetId="2" hidden="1">1</definedName>
    <definedName name="solver_rhs2" localSheetId="2" hidden="1">0</definedName>
    <definedName name="solver_rhs3" localSheetId="2" hidden="1">1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typ" localSheetId="3" hidden="1">1</definedName>
    <definedName name="solver_val" localSheetId="2" hidden="1">0</definedName>
    <definedName name="solver_val" localSheetId="3" hidden="1">0</definedName>
    <definedName name="solver_ver" localSheetId="2" hidden="1">3</definedName>
    <definedName name="solver_ver" localSheetId="3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" i="38" l="1"/>
  <c r="M40" i="38"/>
  <c r="M39" i="38"/>
  <c r="M38" i="38"/>
  <c r="M37" i="38"/>
  <c r="M36" i="38"/>
  <c r="M35" i="38"/>
  <c r="M34" i="38"/>
  <c r="M33" i="38"/>
  <c r="M32" i="38"/>
  <c r="M31" i="38"/>
  <c r="M30" i="38"/>
  <c r="M29" i="38"/>
  <c r="M28" i="38"/>
  <c r="M27" i="38"/>
  <c r="M26" i="38"/>
  <c r="M25" i="38"/>
  <c r="M24" i="38"/>
  <c r="M23" i="38"/>
  <c r="M22" i="38"/>
  <c r="M21" i="38"/>
  <c r="M20" i="38"/>
  <c r="M19" i="38"/>
  <c r="M18" i="38"/>
  <c r="M17" i="38"/>
  <c r="M16" i="38"/>
  <c r="M15" i="38"/>
  <c r="M14" i="38"/>
  <c r="M13" i="38"/>
  <c r="M12" i="38"/>
  <c r="M11" i="38"/>
  <c r="M10" i="38"/>
  <c r="M9" i="38"/>
  <c r="M8" i="38"/>
  <c r="M7" i="38"/>
  <c r="M6" i="38"/>
  <c r="M5" i="38"/>
  <c r="K2" i="38"/>
  <c r="L42" i="34"/>
  <c r="M40" i="34"/>
  <c r="M39" i="34"/>
  <c r="M38" i="34"/>
  <c r="M37" i="34"/>
  <c r="M36" i="34"/>
  <c r="M35" i="34"/>
  <c r="M34" i="34"/>
  <c r="M33" i="34"/>
  <c r="M32" i="34"/>
  <c r="M31" i="34"/>
  <c r="M30" i="34"/>
  <c r="M29" i="34"/>
  <c r="M28" i="34"/>
  <c r="M27" i="34"/>
  <c r="M26" i="34"/>
  <c r="M25" i="34"/>
  <c r="M24" i="34"/>
  <c r="M23" i="34"/>
  <c r="M22" i="34"/>
  <c r="M21" i="34"/>
  <c r="M20" i="34"/>
  <c r="M19" i="34"/>
  <c r="M18" i="34"/>
  <c r="M17" i="34"/>
  <c r="M16" i="34"/>
  <c r="M15" i="34"/>
  <c r="M14" i="34"/>
  <c r="M13" i="34"/>
  <c r="M12" i="34"/>
  <c r="M11" i="34"/>
  <c r="M10" i="34"/>
  <c r="M9" i="34"/>
  <c r="M8" i="34"/>
  <c r="M7" i="34"/>
  <c r="M6" i="34"/>
  <c r="M5" i="34"/>
  <c r="K2" i="34"/>
  <c r="M42" i="38" l="1"/>
  <c r="M42" i="34"/>
</calcChain>
</file>

<file path=xl/sharedStrings.xml><?xml version="1.0" encoding="utf-8"?>
<sst xmlns="http://schemas.openxmlformats.org/spreadsheetml/2006/main" count="108" uniqueCount="41">
  <si>
    <t>LCGFX</t>
  </si>
  <si>
    <t>MRLIX</t>
  </si>
  <si>
    <t>Date</t>
  </si>
  <si>
    <t>IWD</t>
  </si>
  <si>
    <t>iShares Russell 1000 Value</t>
  </si>
  <si>
    <t>IWF</t>
  </si>
  <si>
    <t>iShares Russell 1000 Growth</t>
  </si>
  <si>
    <t>IWN</t>
  </si>
  <si>
    <t>iShares Russell 2000 Value</t>
  </si>
  <si>
    <t>IWO</t>
  </si>
  <si>
    <t>iShares Russell 2000 Growth</t>
  </si>
  <si>
    <t>EFA</t>
  </si>
  <si>
    <t>EEM</t>
  </si>
  <si>
    <t>iShares MSCI EM (emerging markets)</t>
  </si>
  <si>
    <t>TLT</t>
  </si>
  <si>
    <t>SHY</t>
  </si>
  <si>
    <t>LQD</t>
  </si>
  <si>
    <t>MktVW</t>
  </si>
  <si>
    <t>Rf</t>
  </si>
  <si>
    <t>Residual</t>
  </si>
  <si>
    <t>Large Growth</t>
  </si>
  <si>
    <t>Large Value</t>
  </si>
  <si>
    <t>Small Growth</t>
  </si>
  <si>
    <t>Small Value</t>
  </si>
  <si>
    <t>Treasury Long</t>
  </si>
  <si>
    <t>Treasury Short</t>
  </si>
  <si>
    <t>Corporate Bond</t>
  </si>
  <si>
    <t>Int'l Developed</t>
  </si>
  <si>
    <t>Int'l Emerging</t>
  </si>
  <si>
    <t>Sum</t>
  </si>
  <si>
    <t>DATE</t>
  </si>
  <si>
    <t>Variance</t>
  </si>
  <si>
    <t>Exposures</t>
  </si>
  <si>
    <t>iShares MSCI EAFE (foreign developed markets)</t>
  </si>
  <si>
    <t>iShares iBoxx $ Investment Grade Corporate Bonds</t>
  </si>
  <si>
    <t>iShares 20+ Year Treasury Bonds (LT Treasuries)</t>
  </si>
  <si>
    <t>iShares 1-3 Year Treasury Bonds (ST Treasuries)</t>
  </si>
  <si>
    <t>CRSP U.S. domestic value-weighted portfolio</t>
  </si>
  <si>
    <t xml:space="preserve">1-month Treasury Bill rate </t>
  </si>
  <si>
    <t>mktvw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</si>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</sst>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18" fillId="0" borderId="0" xfId="0" applyFont="1"/>
    <xf numFmtId="164" fontId="0" fillId="0" borderId="0" xfId="0" applyNumberFormat="1"/>
    <xf numFmtId="0" fontId="0" fillId="0" borderId="0" xfId="0" applyAlignment="1">
      <alignment horizontal="left"/>
    </xf>
    <xf numFmtId="0" fontId="19" fillId="0" borderId="0" xfId="0" applyFont="1"/>
    <xf numFmtId="165" fontId="0" fillId="0" borderId="0" xfId="0" applyNumberFormat="1"/>
    <xf numFmtId="0" fontId="0" fillId="0" borderId="0" xfId="0" applyAlignment="1">
      <alignment horizontal="left" vertical="center"/>
    </xf>
    <xf numFmtId="166" fontId="0" fillId="0" borderId="0" xfId="0" applyNumberFormat="1"/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/>
    </xf>
    <xf numFmtId="0" fontId="20" fillId="0" borderId="0" xfId="0" applyFon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1F1D4-1EFE-4A52-8425-FED71E13545C}">
  <dimension ref="A1:N122"/>
  <sheetViews>
    <sheetView tabSelected="1" workbookViewId="0"/>
  </sheetViews>
  <sheetFormatPr defaultRowHeight="14.5" x14ac:dyDescent="0.35"/>
  <cols>
    <col min="1" max="1" width="11.26953125" customWidth="1"/>
    <col min="5" max="5" width="9" style="8"/>
  </cols>
  <sheetData>
    <row r="1" spans="1:14" x14ac:dyDescent="0.35">
      <c r="A1" t="s">
        <v>2</v>
      </c>
      <c r="B1" t="s">
        <v>0</v>
      </c>
      <c r="C1" t="s">
        <v>1</v>
      </c>
      <c r="D1" t="s">
        <v>39</v>
      </c>
      <c r="E1" t="s">
        <v>40</v>
      </c>
      <c r="F1" t="s">
        <v>12</v>
      </c>
      <c r="G1" t="s">
        <v>11</v>
      </c>
      <c r="H1" t="s">
        <v>3</v>
      </c>
      <c r="I1" t="s">
        <v>5</v>
      </c>
      <c r="J1" t="s">
        <v>7</v>
      </c>
      <c r="K1" t="s">
        <v>9</v>
      </c>
      <c r="L1" t="s">
        <v>16</v>
      </c>
      <c r="M1" t="s">
        <v>15</v>
      </c>
      <c r="N1" t="s">
        <v>14</v>
      </c>
    </row>
    <row r="2" spans="1:14" x14ac:dyDescent="0.35">
      <c r="A2" s="1">
        <v>42398</v>
      </c>
      <c r="B2">
        <v>-6.1436999999999999E-2</v>
      </c>
      <c r="C2">
        <v>-6.8840999999999999E-2</v>
      </c>
      <c r="D2">
        <v>-5.7090000000000002E-2</v>
      </c>
      <c r="E2">
        <v>1E-4</v>
      </c>
      <c r="F2">
        <v>-5.0326000000000003E-2</v>
      </c>
      <c r="G2">
        <v>-5.5176999999999997E-2</v>
      </c>
      <c r="H2">
        <v>-5.2831000000000003E-2</v>
      </c>
      <c r="I2">
        <v>-5.6794999999999998E-2</v>
      </c>
      <c r="J2">
        <v>-6.5476999999999994E-2</v>
      </c>
      <c r="K2">
        <v>-0.105974</v>
      </c>
      <c r="L2">
        <v>1.2279999999999999E-3</v>
      </c>
      <c r="M2">
        <v>6.5199999999999998E-3</v>
      </c>
      <c r="N2">
        <v>5.5731000000000003E-2</v>
      </c>
    </row>
    <row r="3" spans="1:14" x14ac:dyDescent="0.35">
      <c r="A3" s="1">
        <v>42429</v>
      </c>
      <c r="B3">
        <v>-1.5106E-2</v>
      </c>
      <c r="C3">
        <v>9.7280000000000005E-3</v>
      </c>
      <c r="D3">
        <v>6.2E-4</v>
      </c>
      <c r="E3">
        <v>2.0000000000000001E-4</v>
      </c>
      <c r="F3">
        <v>-8.1779999999999995E-3</v>
      </c>
      <c r="G3">
        <v>-3.3345E-2</v>
      </c>
      <c r="H3">
        <v>0</v>
      </c>
      <c r="I3">
        <v>0</v>
      </c>
      <c r="J3">
        <v>6.0520000000000001E-3</v>
      </c>
      <c r="K3">
        <v>-8.4320000000000003E-3</v>
      </c>
      <c r="L3">
        <v>1.0527999999999999E-2</v>
      </c>
      <c r="M3">
        <v>1.121E-3</v>
      </c>
      <c r="N3">
        <v>3.0866000000000001E-2</v>
      </c>
    </row>
    <row r="4" spans="1:14" x14ac:dyDescent="0.35">
      <c r="A4" s="1">
        <v>42460</v>
      </c>
      <c r="B4">
        <v>6.6461999999999993E-2</v>
      </c>
      <c r="C4">
        <v>6.7436999999999997E-2</v>
      </c>
      <c r="D4">
        <v>7.0505999999999999E-2</v>
      </c>
      <c r="E4">
        <v>2.0000000000000001E-4</v>
      </c>
      <c r="F4">
        <v>0.12961700000000001</v>
      </c>
      <c r="G4">
        <v>6.5821000000000005E-2</v>
      </c>
      <c r="H4">
        <v>7.2666999999999995E-2</v>
      </c>
      <c r="I4">
        <v>6.7362000000000005E-2</v>
      </c>
      <c r="J4">
        <v>8.2707000000000003E-2</v>
      </c>
      <c r="K4">
        <v>7.6194999999999999E-2</v>
      </c>
      <c r="L4">
        <v>3.6162E-2</v>
      </c>
      <c r="M4">
        <v>1.3760000000000001E-3</v>
      </c>
      <c r="N4">
        <v>-8.9599999999999999E-4</v>
      </c>
    </row>
    <row r="5" spans="1:14" x14ac:dyDescent="0.35">
      <c r="A5" s="1">
        <v>42489</v>
      </c>
      <c r="B5">
        <v>-3.8349999999999999E-3</v>
      </c>
      <c r="C5">
        <v>-1.6244999999999999E-2</v>
      </c>
      <c r="D5">
        <v>1.1719E-2</v>
      </c>
      <c r="E5">
        <v>1E-4</v>
      </c>
      <c r="F5">
        <v>4.0879999999999996E-3</v>
      </c>
      <c r="G5">
        <v>2.2218000000000002E-2</v>
      </c>
      <c r="H5">
        <v>2.1051E-2</v>
      </c>
      <c r="I5">
        <v>-9.2200000000000008E-3</v>
      </c>
      <c r="J5">
        <v>2.1357000000000001E-2</v>
      </c>
      <c r="K5">
        <v>1.1010000000000001E-2</v>
      </c>
      <c r="L5">
        <v>1.5539000000000001E-2</v>
      </c>
      <c r="M5">
        <v>3.6099999999999999E-4</v>
      </c>
      <c r="N5">
        <v>-7.3680000000000004E-3</v>
      </c>
    </row>
    <row r="6" spans="1:14" x14ac:dyDescent="0.35">
      <c r="A6" s="1">
        <v>42521</v>
      </c>
      <c r="B6">
        <v>2.8874E-2</v>
      </c>
      <c r="C6">
        <v>1.8349000000000001E-2</v>
      </c>
      <c r="D6">
        <v>1.4341E-2</v>
      </c>
      <c r="E6">
        <v>1E-4</v>
      </c>
      <c r="F6">
        <v>-3.6928999999999997E-2</v>
      </c>
      <c r="G6">
        <v>-8.5599999999999999E-4</v>
      </c>
      <c r="H6">
        <v>1.4669E-2</v>
      </c>
      <c r="I6">
        <v>1.9623999999999999E-2</v>
      </c>
      <c r="J6">
        <v>1.7863E-2</v>
      </c>
      <c r="K6">
        <v>2.7671999999999999E-2</v>
      </c>
      <c r="L6">
        <v>-5.1240000000000001E-3</v>
      </c>
      <c r="M6">
        <v>-1.188E-3</v>
      </c>
      <c r="N6">
        <v>8.0770000000000008E-3</v>
      </c>
    </row>
    <row r="7" spans="1:14" x14ac:dyDescent="0.35">
      <c r="A7" s="1">
        <v>42551</v>
      </c>
      <c r="B7">
        <v>-1.3096E-2</v>
      </c>
      <c r="C7">
        <v>-2.1621999999999999E-2</v>
      </c>
      <c r="D7">
        <v>2.947E-3</v>
      </c>
      <c r="E7">
        <v>2.0000000000000001E-4</v>
      </c>
      <c r="F7">
        <v>4.5569999999999999E-2</v>
      </c>
      <c r="G7">
        <v>-2.4185000000000002E-2</v>
      </c>
      <c r="H7">
        <v>8.4010000000000005E-3</v>
      </c>
      <c r="I7">
        <v>-4.365E-3</v>
      </c>
      <c r="J7">
        <v>4.3359999999999996E-3</v>
      </c>
      <c r="K7">
        <v>-4.3550000000000004E-3</v>
      </c>
      <c r="L7">
        <v>3.0901000000000001E-2</v>
      </c>
      <c r="M7">
        <v>6.0200000000000002E-3</v>
      </c>
      <c r="N7">
        <v>6.9334999999999994E-2</v>
      </c>
    </row>
    <row r="8" spans="1:14" x14ac:dyDescent="0.35">
      <c r="A8" s="1">
        <v>42580</v>
      </c>
      <c r="B8">
        <v>5.4028E-2</v>
      </c>
      <c r="C8">
        <v>4.6961000000000003E-2</v>
      </c>
      <c r="D8">
        <v>3.8818999999999999E-2</v>
      </c>
      <c r="E8">
        <v>2.0000000000000001E-4</v>
      </c>
      <c r="F8">
        <v>5.3696000000000001E-2</v>
      </c>
      <c r="G8">
        <v>3.9681000000000001E-2</v>
      </c>
      <c r="H8">
        <v>2.8923000000000001E-2</v>
      </c>
      <c r="I8">
        <v>4.7544000000000003E-2</v>
      </c>
      <c r="J8">
        <v>5.3591E-2</v>
      </c>
      <c r="K8">
        <v>6.4102000000000006E-2</v>
      </c>
      <c r="L8">
        <v>1.2945999999999999E-2</v>
      </c>
      <c r="M8">
        <v>-4.6500000000000003E-4</v>
      </c>
      <c r="N8">
        <v>2.1000999999999999E-2</v>
      </c>
    </row>
    <row r="9" spans="1:14" x14ac:dyDescent="0.35">
      <c r="A9" s="1">
        <v>42613</v>
      </c>
      <c r="B9">
        <v>-1.4388E-2</v>
      </c>
      <c r="C9">
        <v>-8.8000000000000003E-4</v>
      </c>
      <c r="D9">
        <v>2.8E-3</v>
      </c>
      <c r="E9">
        <v>2.0000000000000001E-4</v>
      </c>
      <c r="F9">
        <v>8.9770000000000006E-3</v>
      </c>
      <c r="G9">
        <v>5.4279999999999997E-3</v>
      </c>
      <c r="H9">
        <v>7.672E-3</v>
      </c>
      <c r="I9">
        <v>-5.1570000000000001E-3</v>
      </c>
      <c r="J9">
        <v>2.4244000000000002E-2</v>
      </c>
      <c r="K9">
        <v>1.0861000000000001E-2</v>
      </c>
      <c r="L9">
        <v>1.8159999999999999E-3</v>
      </c>
      <c r="M9">
        <v>-2.3349999999999998E-3</v>
      </c>
      <c r="N9">
        <v>-1.0114E-2</v>
      </c>
    </row>
    <row r="10" spans="1:14" x14ac:dyDescent="0.35">
      <c r="A10" s="1">
        <v>42643</v>
      </c>
      <c r="B10">
        <v>2.7369999999999998E-3</v>
      </c>
      <c r="C10">
        <v>3.5209999999999998E-3</v>
      </c>
      <c r="D10">
        <v>3.0140000000000002E-3</v>
      </c>
      <c r="E10">
        <v>2.0000000000000001E-4</v>
      </c>
      <c r="F10">
        <v>2.5184999999999999E-2</v>
      </c>
      <c r="G10">
        <v>1.3368E-2</v>
      </c>
      <c r="H10">
        <v>-2.2799999999999999E-3</v>
      </c>
      <c r="I10">
        <v>2.99E-3</v>
      </c>
      <c r="J10">
        <v>7.2560000000000003E-3</v>
      </c>
      <c r="K10">
        <v>1.4194999999999999E-2</v>
      </c>
      <c r="L10">
        <v>-3.1580000000000002E-3</v>
      </c>
      <c r="M10">
        <v>1.2960000000000001E-3</v>
      </c>
      <c r="N10">
        <v>-1.5084999999999999E-2</v>
      </c>
    </row>
    <row r="11" spans="1:14" x14ac:dyDescent="0.35">
      <c r="A11" s="1">
        <v>42674</v>
      </c>
      <c r="B11">
        <v>-2.5478000000000001E-2</v>
      </c>
      <c r="C11">
        <v>-1.5789000000000001E-2</v>
      </c>
      <c r="D11">
        <v>-2.1545999999999999E-2</v>
      </c>
      <c r="E11">
        <v>2.0000000000000001E-4</v>
      </c>
      <c r="F11">
        <v>-8.2780000000000006E-3</v>
      </c>
      <c r="G11">
        <v>-2.2155000000000001E-2</v>
      </c>
      <c r="H11">
        <v>-1.4959E-2</v>
      </c>
      <c r="I11">
        <v>-2.3327000000000001E-2</v>
      </c>
      <c r="J11">
        <v>-3.1217000000000002E-2</v>
      </c>
      <c r="K11">
        <v>-6.0644999999999998E-2</v>
      </c>
      <c r="L11">
        <v>-1.5280999999999999E-2</v>
      </c>
      <c r="M11">
        <v>-4.86E-4</v>
      </c>
      <c r="N11">
        <v>-4.3799999999999999E-2</v>
      </c>
    </row>
    <row r="12" spans="1:14" x14ac:dyDescent="0.35">
      <c r="A12" s="1">
        <v>42704</v>
      </c>
      <c r="B12">
        <v>9.3369999999999998E-3</v>
      </c>
      <c r="C12">
        <v>6.9518999999999997E-2</v>
      </c>
      <c r="D12">
        <v>4.0492E-2</v>
      </c>
      <c r="E12">
        <v>1E-4</v>
      </c>
      <c r="F12">
        <v>-4.4157000000000002E-2</v>
      </c>
      <c r="G12">
        <v>-1.7814E-2</v>
      </c>
      <c r="H12">
        <v>5.6420999999999999E-2</v>
      </c>
      <c r="I12">
        <v>2.1919000000000001E-2</v>
      </c>
      <c r="J12">
        <v>0.13165199999999999</v>
      </c>
      <c r="K12">
        <v>8.8940000000000005E-2</v>
      </c>
      <c r="L12">
        <v>-3.1669000000000003E-2</v>
      </c>
      <c r="M12">
        <v>-4.7039999999999998E-3</v>
      </c>
      <c r="N12">
        <v>-8.2139000000000004E-2</v>
      </c>
    </row>
    <row r="13" spans="1:14" x14ac:dyDescent="0.35">
      <c r="A13" s="1">
        <v>42734</v>
      </c>
      <c r="B13">
        <v>4.9100000000000001E-4</v>
      </c>
      <c r="C13">
        <v>6.2630000000000003E-3</v>
      </c>
      <c r="D13">
        <v>1.8765E-2</v>
      </c>
      <c r="E13">
        <v>2.9999999999999997E-4</v>
      </c>
      <c r="F13">
        <v>-2.4740000000000001E-3</v>
      </c>
      <c r="G13">
        <v>2.7063E-2</v>
      </c>
      <c r="H13">
        <v>2.6270999999999999E-2</v>
      </c>
      <c r="I13">
        <v>1.2976E-2</v>
      </c>
      <c r="J13">
        <v>4.2068000000000001E-2</v>
      </c>
      <c r="K13">
        <v>1.4095999999999999E-2</v>
      </c>
      <c r="L13">
        <v>8.4030000000000007E-3</v>
      </c>
      <c r="M13">
        <v>7.1299999999999998E-4</v>
      </c>
      <c r="N13">
        <v>-4.6059999999999999E-3</v>
      </c>
    </row>
    <row r="14" spans="1:14" x14ac:dyDescent="0.35">
      <c r="A14" s="1">
        <v>42766</v>
      </c>
      <c r="B14">
        <v>2.5233999999999999E-2</v>
      </c>
      <c r="C14">
        <v>3.0483E-2</v>
      </c>
      <c r="D14">
        <v>2.2155999999999999E-2</v>
      </c>
      <c r="E14">
        <v>4.0000000000000002E-4</v>
      </c>
      <c r="F14">
        <v>6.6552E-2</v>
      </c>
      <c r="G14">
        <v>3.2911999999999997E-2</v>
      </c>
      <c r="H14">
        <v>6.0699999999999999E-3</v>
      </c>
      <c r="I14">
        <v>3.2888000000000001E-2</v>
      </c>
      <c r="J14">
        <v>-8.4919999999999995E-3</v>
      </c>
      <c r="K14">
        <v>1.4940999999999999E-2</v>
      </c>
      <c r="L14">
        <v>1.451E-3</v>
      </c>
      <c r="M14">
        <v>1.0660000000000001E-3</v>
      </c>
      <c r="N14">
        <v>8.1419999999999999E-3</v>
      </c>
    </row>
    <row r="15" spans="1:14" x14ac:dyDescent="0.35">
      <c r="A15" s="1">
        <v>42794</v>
      </c>
      <c r="B15">
        <v>3.5552E-2</v>
      </c>
      <c r="C15">
        <v>4.0263E-2</v>
      </c>
      <c r="D15">
        <v>3.2601999999999999E-2</v>
      </c>
      <c r="E15">
        <v>4.0000000000000002E-4</v>
      </c>
      <c r="F15">
        <v>1.7408E-2</v>
      </c>
      <c r="G15">
        <v>1.1906999999999999E-2</v>
      </c>
      <c r="H15">
        <v>3.4957000000000002E-2</v>
      </c>
      <c r="I15">
        <v>4.0793999999999997E-2</v>
      </c>
      <c r="J15">
        <v>1.4076E-2</v>
      </c>
      <c r="K15">
        <v>2.5666000000000001E-2</v>
      </c>
      <c r="L15">
        <v>1.3212E-2</v>
      </c>
      <c r="M15">
        <v>3.6699999999999998E-4</v>
      </c>
      <c r="N15">
        <v>1.5861E-2</v>
      </c>
    </row>
    <row r="16" spans="1:14" x14ac:dyDescent="0.35">
      <c r="A16" s="1">
        <v>42825</v>
      </c>
      <c r="B16">
        <v>1.3204E-2</v>
      </c>
      <c r="C16">
        <v>5.5290000000000001E-3</v>
      </c>
      <c r="D16">
        <v>2.062E-3</v>
      </c>
      <c r="E16">
        <v>2.9999999999999997E-4</v>
      </c>
      <c r="F16">
        <v>3.6852000000000003E-2</v>
      </c>
      <c r="G16">
        <v>3.2316999999999999E-2</v>
      </c>
      <c r="H16">
        <v>-9.6550000000000004E-3</v>
      </c>
      <c r="I16">
        <v>1.2093E-2</v>
      </c>
      <c r="J16">
        <v>-8.3789999999999993E-3</v>
      </c>
      <c r="K16">
        <v>1.0848E-2</v>
      </c>
      <c r="L16">
        <v>-2.9369999999999999E-3</v>
      </c>
      <c r="M16">
        <v>6.3400000000000001E-4</v>
      </c>
      <c r="N16">
        <v>-6.5199999999999998E-3</v>
      </c>
    </row>
    <row r="17" spans="1:14" x14ac:dyDescent="0.35">
      <c r="A17" s="1">
        <v>42853</v>
      </c>
      <c r="B17">
        <v>3.4751999999999998E-2</v>
      </c>
      <c r="C17">
        <v>1.2569E-2</v>
      </c>
      <c r="D17">
        <v>9.6559999999999997E-3</v>
      </c>
      <c r="E17">
        <v>5.0000000000000001E-4</v>
      </c>
      <c r="F17">
        <v>1.7009E-2</v>
      </c>
      <c r="G17">
        <v>2.4240999999999999E-2</v>
      </c>
      <c r="H17">
        <v>-1.9139999999999999E-3</v>
      </c>
      <c r="I17">
        <v>2.2231999999999998E-2</v>
      </c>
      <c r="J17">
        <v>3.7239999999999999E-3</v>
      </c>
      <c r="K17">
        <v>1.8866999999999998E-2</v>
      </c>
      <c r="L17">
        <v>1.1878E-2</v>
      </c>
      <c r="M17">
        <v>1.8760000000000001E-3</v>
      </c>
      <c r="N17">
        <v>1.5706999999999999E-2</v>
      </c>
    </row>
    <row r="18" spans="1:14" x14ac:dyDescent="0.35">
      <c r="A18" s="1">
        <v>42886</v>
      </c>
      <c r="B18">
        <v>2.8546999999999999E-2</v>
      </c>
      <c r="C18">
        <v>3.1029999999999999E-3</v>
      </c>
      <c r="D18">
        <v>9.3360000000000005E-3</v>
      </c>
      <c r="E18">
        <v>5.9999999999999995E-4</v>
      </c>
      <c r="F18">
        <v>2.8457E-2</v>
      </c>
      <c r="G18">
        <v>3.5423000000000003E-2</v>
      </c>
      <c r="H18">
        <v>-1.6559999999999999E-3</v>
      </c>
      <c r="I18">
        <v>2.5874999999999999E-2</v>
      </c>
      <c r="J18">
        <v>-3.0606999999999999E-2</v>
      </c>
      <c r="K18">
        <v>-8.378E-3</v>
      </c>
      <c r="L18">
        <v>1.3337E-2</v>
      </c>
      <c r="M18">
        <v>7.3200000000000001E-4</v>
      </c>
      <c r="N18">
        <v>1.8894999999999999E-2</v>
      </c>
    </row>
    <row r="19" spans="1:14" x14ac:dyDescent="0.35">
      <c r="A19" s="1">
        <v>42916</v>
      </c>
      <c r="B19">
        <v>-1.6327000000000001E-2</v>
      </c>
      <c r="C19">
        <v>1.547E-3</v>
      </c>
      <c r="D19">
        <v>9.5720000000000006E-3</v>
      </c>
      <c r="E19">
        <v>5.9999999999999995E-4</v>
      </c>
      <c r="F19">
        <v>9.3109999999999998E-3</v>
      </c>
      <c r="G19">
        <v>3.0860000000000002E-3</v>
      </c>
      <c r="H19">
        <v>1.6590000000000001E-2</v>
      </c>
      <c r="I19">
        <v>-2.6809999999999998E-3</v>
      </c>
      <c r="J19">
        <v>3.3922000000000001E-2</v>
      </c>
      <c r="K19">
        <v>3.3307000000000003E-2</v>
      </c>
      <c r="L19">
        <v>4.8050000000000002E-3</v>
      </c>
      <c r="M19">
        <v>-7.85E-4</v>
      </c>
      <c r="N19">
        <v>7.9179999999999997E-3</v>
      </c>
    </row>
    <row r="20" spans="1:14" x14ac:dyDescent="0.35">
      <c r="A20" s="1">
        <v>42947</v>
      </c>
      <c r="B20">
        <v>1.6598000000000002E-2</v>
      </c>
      <c r="C20">
        <v>1.9304999999999999E-2</v>
      </c>
      <c r="D20">
        <v>2.0279999999999999E-2</v>
      </c>
      <c r="E20">
        <v>6.9999999999999999E-4</v>
      </c>
      <c r="F20">
        <v>5.8227000000000001E-2</v>
      </c>
      <c r="G20">
        <v>2.6533999999999999E-2</v>
      </c>
      <c r="H20">
        <v>1.2881999999999999E-2</v>
      </c>
      <c r="I20">
        <v>2.6203000000000001E-2</v>
      </c>
      <c r="J20">
        <v>7.437E-3</v>
      </c>
      <c r="K20">
        <v>9.9509999999999998E-3</v>
      </c>
      <c r="L20">
        <v>7.6620000000000004E-3</v>
      </c>
      <c r="M20">
        <v>1.8600000000000001E-3</v>
      </c>
      <c r="N20">
        <v>-6.5799999999999999E-3</v>
      </c>
    </row>
    <row r="21" spans="1:14" x14ac:dyDescent="0.35">
      <c r="A21" s="1">
        <v>42978</v>
      </c>
      <c r="B21">
        <v>2.1224E-2</v>
      </c>
      <c r="C21">
        <v>-1.5150000000000001E-3</v>
      </c>
      <c r="D21">
        <v>1.6000000000000001E-3</v>
      </c>
      <c r="E21">
        <v>8.9999999999999998E-4</v>
      </c>
      <c r="F21">
        <v>2.3515999999999999E-2</v>
      </c>
      <c r="G21">
        <v>-4.4799999999999999E-4</v>
      </c>
      <c r="H21">
        <v>-1.2031E-2</v>
      </c>
      <c r="I21">
        <v>1.8159000000000002E-2</v>
      </c>
      <c r="J21">
        <v>-2.4517000000000001E-2</v>
      </c>
      <c r="K21">
        <v>-5.8799999999999998E-4</v>
      </c>
      <c r="L21">
        <v>6.7609999999999996E-3</v>
      </c>
      <c r="M21">
        <v>2.0219999999999999E-3</v>
      </c>
      <c r="N21">
        <v>3.4069000000000002E-2</v>
      </c>
    </row>
    <row r="22" spans="1:14" x14ac:dyDescent="0.35">
      <c r="A22" s="1">
        <v>43007</v>
      </c>
      <c r="B22">
        <v>1.8384999999999999E-2</v>
      </c>
      <c r="C22">
        <v>2.5797E-2</v>
      </c>
      <c r="D22">
        <v>2.3729E-2</v>
      </c>
      <c r="E22">
        <v>8.9999999999999998E-4</v>
      </c>
      <c r="F22">
        <v>-4.46E-4</v>
      </c>
      <c r="G22">
        <v>2.3616999999999999E-2</v>
      </c>
      <c r="H22">
        <v>2.9241E-2</v>
      </c>
      <c r="I22">
        <v>1.226E-2</v>
      </c>
      <c r="J22">
        <v>7.1503999999999998E-2</v>
      </c>
      <c r="K22">
        <v>5.4568999999999999E-2</v>
      </c>
      <c r="L22">
        <v>-4.8299999999999998E-4</v>
      </c>
      <c r="M22">
        <v>-1.867E-3</v>
      </c>
      <c r="N22">
        <v>-2.3217000000000002E-2</v>
      </c>
    </row>
    <row r="23" spans="1:14" x14ac:dyDescent="0.35">
      <c r="A23" s="1">
        <v>43039</v>
      </c>
      <c r="B23">
        <v>5.2589999999999998E-2</v>
      </c>
      <c r="C23">
        <v>1.9970000000000002E-2</v>
      </c>
      <c r="D23">
        <v>1.9275E-2</v>
      </c>
      <c r="E23">
        <v>8.9999999999999998E-4</v>
      </c>
      <c r="F23">
        <v>3.2805000000000001E-2</v>
      </c>
      <c r="G23">
        <v>1.6792999999999999E-2</v>
      </c>
      <c r="H23">
        <v>7.4260000000000003E-3</v>
      </c>
      <c r="I23">
        <v>3.9181000000000001E-2</v>
      </c>
      <c r="J23">
        <v>4.8299999999999998E-4</v>
      </c>
      <c r="K23">
        <v>1.4751999999999999E-2</v>
      </c>
      <c r="L23">
        <v>1.923E-3</v>
      </c>
      <c r="M23">
        <v>-9.1799999999999998E-4</v>
      </c>
      <c r="N23">
        <v>-3.79E-4</v>
      </c>
    </row>
    <row r="24" spans="1:14" x14ac:dyDescent="0.35">
      <c r="A24" s="1">
        <v>43069</v>
      </c>
      <c r="B24">
        <v>4.5488000000000001E-2</v>
      </c>
      <c r="C24">
        <v>3.7707999999999998E-2</v>
      </c>
      <c r="D24">
        <v>2.7231000000000002E-2</v>
      </c>
      <c r="E24">
        <v>8.0000000000000004E-4</v>
      </c>
      <c r="F24">
        <v>-3.8890000000000001E-3</v>
      </c>
      <c r="G24">
        <v>6.894E-3</v>
      </c>
      <c r="H24">
        <v>3.0488000000000001E-2</v>
      </c>
      <c r="I24">
        <v>2.9471000000000001E-2</v>
      </c>
      <c r="J24">
        <v>2.8989999999999998E-2</v>
      </c>
      <c r="K24">
        <v>2.8469000000000001E-2</v>
      </c>
      <c r="L24">
        <v>-1.2359999999999999E-3</v>
      </c>
      <c r="M24">
        <v>-2.1559999999999999E-3</v>
      </c>
      <c r="N24">
        <v>7.4229999999999999E-3</v>
      </c>
    </row>
    <row r="25" spans="1:14" x14ac:dyDescent="0.35">
      <c r="A25" s="1">
        <v>43098</v>
      </c>
      <c r="B25">
        <v>2.0140000000000002E-3</v>
      </c>
      <c r="C25">
        <v>1.0947999999999999E-2</v>
      </c>
      <c r="D25">
        <v>1.2122000000000001E-2</v>
      </c>
      <c r="E25">
        <v>8.9999999999999998E-4</v>
      </c>
      <c r="F25">
        <v>3.7687999999999999E-2</v>
      </c>
      <c r="G25">
        <v>1.3521E-2</v>
      </c>
      <c r="H25">
        <v>1.5805E-2</v>
      </c>
      <c r="I25">
        <v>9.3080000000000003E-3</v>
      </c>
      <c r="J25">
        <v>-9.5689999999999994E-3</v>
      </c>
      <c r="K25">
        <v>1.743E-3</v>
      </c>
      <c r="L25">
        <v>1.2194E-2</v>
      </c>
      <c r="M25">
        <v>-2.0699999999999999E-4</v>
      </c>
      <c r="N25">
        <v>1.8079999999999999E-2</v>
      </c>
    </row>
    <row r="26" spans="1:14" x14ac:dyDescent="0.35">
      <c r="A26" s="1">
        <v>43131</v>
      </c>
      <c r="B26">
        <v>7.8740000000000004E-2</v>
      </c>
      <c r="C26">
        <v>5.8570999999999998E-2</v>
      </c>
      <c r="D26">
        <v>5.0576999999999997E-2</v>
      </c>
      <c r="E26">
        <v>1.1000000000000001E-3</v>
      </c>
      <c r="F26">
        <v>8.2979999999999998E-2</v>
      </c>
      <c r="G26">
        <v>5.0206000000000001E-2</v>
      </c>
      <c r="H26">
        <v>3.78E-2</v>
      </c>
      <c r="I26">
        <v>6.9498000000000004E-2</v>
      </c>
      <c r="J26">
        <v>1.2246999999999999E-2</v>
      </c>
      <c r="K26">
        <v>3.7761000000000003E-2</v>
      </c>
      <c r="L26">
        <v>-1.2257000000000001E-2</v>
      </c>
      <c r="M26">
        <v>-2.862E-3</v>
      </c>
      <c r="N26">
        <v>-3.2556000000000002E-2</v>
      </c>
    </row>
    <row r="27" spans="1:14" x14ac:dyDescent="0.35">
      <c r="A27" s="1">
        <v>43159</v>
      </c>
      <c r="B27">
        <v>-9.9539999999999993E-3</v>
      </c>
      <c r="C27">
        <v>-3.9810999999999999E-2</v>
      </c>
      <c r="D27">
        <v>-3.9454000000000003E-2</v>
      </c>
      <c r="E27">
        <v>1.1000000000000001E-3</v>
      </c>
      <c r="F27">
        <v>-5.8985000000000003E-2</v>
      </c>
      <c r="G27">
        <v>-4.8348000000000002E-2</v>
      </c>
      <c r="H27">
        <v>-4.8356999999999997E-2</v>
      </c>
      <c r="I27">
        <v>-2.6034000000000002E-2</v>
      </c>
      <c r="J27">
        <v>-4.9886E-2</v>
      </c>
      <c r="K27">
        <v>-2.751E-2</v>
      </c>
      <c r="L27">
        <v>-2.2356999999999998E-2</v>
      </c>
      <c r="M27">
        <v>-1.003E-3</v>
      </c>
      <c r="N27">
        <v>-3.0387999999999998E-2</v>
      </c>
    </row>
    <row r="28" spans="1:14" x14ac:dyDescent="0.35">
      <c r="A28" s="1">
        <v>43188</v>
      </c>
      <c r="B28">
        <v>-1.1394E-2</v>
      </c>
      <c r="C28">
        <v>-2.811E-2</v>
      </c>
      <c r="D28">
        <v>-1.8421E-2</v>
      </c>
      <c r="E28">
        <v>1.1999999999999999E-3</v>
      </c>
      <c r="F28">
        <v>5.4140000000000004E-3</v>
      </c>
      <c r="G28">
        <v>-8.3960000000000007E-3</v>
      </c>
      <c r="H28">
        <v>-1.7562999999999999E-2</v>
      </c>
      <c r="I28">
        <v>-2.7091E-2</v>
      </c>
      <c r="J28">
        <v>1.1183E-2</v>
      </c>
      <c r="K28">
        <v>1.3002E-2</v>
      </c>
      <c r="L28">
        <v>5.5729999999999998E-3</v>
      </c>
      <c r="M28">
        <v>2.4740000000000001E-3</v>
      </c>
      <c r="N28">
        <v>2.8582E-2</v>
      </c>
    </row>
    <row r="29" spans="1:14" x14ac:dyDescent="0.35">
      <c r="A29" s="1">
        <v>43220</v>
      </c>
      <c r="B29">
        <v>1.6948999999999999E-2</v>
      </c>
      <c r="C29">
        <v>-5.0610000000000004E-3</v>
      </c>
      <c r="D29">
        <v>4.679E-3</v>
      </c>
      <c r="E29">
        <v>1.4E-3</v>
      </c>
      <c r="F29">
        <v>-2.8169E-2</v>
      </c>
      <c r="G29">
        <v>1.5212E-2</v>
      </c>
      <c r="H29">
        <v>3.1679999999999998E-3</v>
      </c>
      <c r="I29">
        <v>2.6450000000000002E-3</v>
      </c>
      <c r="J29">
        <v>1.8461000000000002E-2</v>
      </c>
      <c r="K29">
        <v>2.2039999999999998E-3</v>
      </c>
      <c r="L29">
        <v>-1.5658999999999999E-2</v>
      </c>
      <c r="M29">
        <v>-2.343E-3</v>
      </c>
      <c r="N29">
        <v>-2.0882000000000001E-2</v>
      </c>
    </row>
    <row r="30" spans="1:14" x14ac:dyDescent="0.35">
      <c r="A30" s="1">
        <v>43251</v>
      </c>
      <c r="B30">
        <v>3.7332999999999998E-2</v>
      </c>
      <c r="C30">
        <v>1.5987999999999999E-2</v>
      </c>
      <c r="D30">
        <v>2.6145999999999999E-2</v>
      </c>
      <c r="E30">
        <v>1.4E-3</v>
      </c>
      <c r="F30">
        <v>-2.6214999999999999E-2</v>
      </c>
      <c r="G30">
        <v>-1.8943000000000002E-2</v>
      </c>
      <c r="H30">
        <v>5.8999999999999999E-3</v>
      </c>
      <c r="I30">
        <v>4.3825999999999997E-2</v>
      </c>
      <c r="J30">
        <v>5.8326000000000003E-2</v>
      </c>
      <c r="K30">
        <v>6.2254999999999998E-2</v>
      </c>
      <c r="L30">
        <v>5.2249999999999996E-3</v>
      </c>
      <c r="M30">
        <v>3.5249999999999999E-3</v>
      </c>
      <c r="N30">
        <v>2.0053000000000001E-2</v>
      </c>
    </row>
    <row r="31" spans="1:14" x14ac:dyDescent="0.35">
      <c r="A31" s="1">
        <v>43280</v>
      </c>
      <c r="B31">
        <v>8.9969999999999998E-3</v>
      </c>
      <c r="C31">
        <v>-2.1459999999999999E-3</v>
      </c>
      <c r="D31">
        <v>5.359E-3</v>
      </c>
      <c r="E31">
        <v>1.4E-3</v>
      </c>
      <c r="F31">
        <v>-4.5391000000000001E-2</v>
      </c>
      <c r="G31">
        <v>-1.567E-2</v>
      </c>
      <c r="H31">
        <v>2.7260000000000001E-3</v>
      </c>
      <c r="I31">
        <v>9.6190000000000008E-3</v>
      </c>
      <c r="J31">
        <v>4.1869999999999997E-3</v>
      </c>
      <c r="K31">
        <v>7.1469999999999997E-3</v>
      </c>
      <c r="L31">
        <v>-4.8690000000000001E-3</v>
      </c>
      <c r="M31">
        <v>4.3800000000000002E-4</v>
      </c>
      <c r="N31">
        <v>6.4679999999999998E-3</v>
      </c>
    </row>
    <row r="32" spans="1:14" x14ac:dyDescent="0.35">
      <c r="A32" s="1">
        <v>43312</v>
      </c>
      <c r="B32">
        <v>1.8471000000000001E-2</v>
      </c>
      <c r="C32">
        <v>3.6559000000000001E-2</v>
      </c>
      <c r="D32">
        <v>3.1572999999999997E-2</v>
      </c>
      <c r="E32">
        <v>1.6000000000000001E-3</v>
      </c>
      <c r="F32">
        <v>3.5310000000000001E-2</v>
      </c>
      <c r="G32">
        <v>2.852E-2</v>
      </c>
      <c r="H32">
        <v>3.8591E-2</v>
      </c>
      <c r="I32">
        <v>2.8864000000000001E-2</v>
      </c>
      <c r="J32">
        <v>1.8079999999999999E-2</v>
      </c>
      <c r="K32">
        <v>1.7308E-2</v>
      </c>
      <c r="L32">
        <v>1.3441E-2</v>
      </c>
      <c r="M32">
        <v>-6.02E-4</v>
      </c>
      <c r="N32">
        <v>-1.4367E-2</v>
      </c>
    </row>
    <row r="33" spans="1:14" x14ac:dyDescent="0.35">
      <c r="A33" s="1">
        <v>43343</v>
      </c>
      <c r="B33">
        <v>4.3152000000000003E-2</v>
      </c>
      <c r="C33">
        <v>3.3195000000000002E-2</v>
      </c>
      <c r="D33">
        <v>3.0225999999999999E-2</v>
      </c>
      <c r="E33">
        <v>1.6000000000000001E-3</v>
      </c>
      <c r="F33">
        <v>-3.7672999999999998E-2</v>
      </c>
      <c r="G33">
        <v>-2.2357999999999999E-2</v>
      </c>
      <c r="H33">
        <v>1.4204E-2</v>
      </c>
      <c r="I33">
        <v>5.4233999999999997E-2</v>
      </c>
      <c r="J33">
        <v>2.3939999999999999E-2</v>
      </c>
      <c r="K33">
        <v>6.1575999999999999E-2</v>
      </c>
      <c r="L33">
        <v>2.0599999999999999E-4</v>
      </c>
      <c r="M33">
        <v>3.4689999999999999E-3</v>
      </c>
      <c r="N33">
        <v>1.3095000000000001E-2</v>
      </c>
    </row>
    <row r="34" spans="1:14" x14ac:dyDescent="0.35">
      <c r="A34" s="1">
        <v>43371</v>
      </c>
      <c r="B34">
        <v>6.5950000000000002E-3</v>
      </c>
      <c r="C34">
        <v>8.7010000000000004E-3</v>
      </c>
      <c r="D34">
        <v>4.2499999999999998E-4</v>
      </c>
      <c r="E34">
        <v>1.5E-3</v>
      </c>
      <c r="F34">
        <v>-5.7910000000000001E-3</v>
      </c>
      <c r="G34">
        <v>9.6530000000000001E-3</v>
      </c>
      <c r="H34">
        <v>2.4359999999999998E-3</v>
      </c>
      <c r="I34">
        <v>5.8399999999999997E-3</v>
      </c>
      <c r="J34">
        <v>-2.4683E-2</v>
      </c>
      <c r="K34">
        <v>-2.2494E-2</v>
      </c>
      <c r="L34">
        <v>-1.405E-3</v>
      </c>
      <c r="M34">
        <v>-1.4270000000000001E-3</v>
      </c>
      <c r="N34">
        <v>-2.8587000000000001E-2</v>
      </c>
    </row>
    <row r="35" spans="1:14" x14ac:dyDescent="0.35">
      <c r="A35" s="1">
        <v>43404</v>
      </c>
      <c r="B35">
        <v>-7.3258000000000004E-2</v>
      </c>
      <c r="C35">
        <v>-7.4982999999999994E-2</v>
      </c>
      <c r="D35">
        <v>-7.4045E-2</v>
      </c>
      <c r="E35">
        <v>1.9E-3</v>
      </c>
      <c r="F35">
        <v>-8.7605000000000002E-2</v>
      </c>
      <c r="G35">
        <v>-8.1335000000000005E-2</v>
      </c>
      <c r="H35">
        <v>-5.1572E-2</v>
      </c>
      <c r="I35">
        <v>-8.9113999999999999E-2</v>
      </c>
      <c r="J35">
        <v>-8.9097999999999997E-2</v>
      </c>
      <c r="K35">
        <v>-0.126418</v>
      </c>
      <c r="L35">
        <v>-2.0489E-2</v>
      </c>
      <c r="M35">
        <v>1.531E-3</v>
      </c>
      <c r="N35">
        <v>-2.9291000000000001E-2</v>
      </c>
    </row>
    <row r="36" spans="1:14" x14ac:dyDescent="0.35">
      <c r="A36" s="1">
        <v>43434</v>
      </c>
      <c r="B36">
        <v>2.9562999999999999E-2</v>
      </c>
      <c r="C36">
        <v>2.6542E-2</v>
      </c>
      <c r="D36">
        <v>1.8512000000000001E-2</v>
      </c>
      <c r="E36">
        <v>1.8E-3</v>
      </c>
      <c r="F36">
        <v>4.9029999999999997E-2</v>
      </c>
      <c r="G36">
        <v>4.9630000000000004E-3</v>
      </c>
      <c r="H36">
        <v>2.8229000000000001E-2</v>
      </c>
      <c r="I36">
        <v>8.7270000000000004E-3</v>
      </c>
      <c r="J36">
        <v>1.5765999999999999E-2</v>
      </c>
      <c r="K36">
        <v>1.5275E-2</v>
      </c>
      <c r="L36">
        <v>-3.5920000000000001E-3</v>
      </c>
      <c r="M36">
        <v>3.8040000000000001E-3</v>
      </c>
      <c r="N36">
        <v>1.7867000000000001E-2</v>
      </c>
    </row>
    <row r="37" spans="1:14" x14ac:dyDescent="0.35">
      <c r="A37" s="1">
        <v>43465</v>
      </c>
      <c r="B37">
        <v>-8.2494999999999999E-2</v>
      </c>
      <c r="C37">
        <v>-8.8966000000000003E-2</v>
      </c>
      <c r="D37">
        <v>-8.9889999999999998E-2</v>
      </c>
      <c r="E37">
        <v>1.9E-3</v>
      </c>
      <c r="F37">
        <v>-3.499E-2</v>
      </c>
      <c r="G37">
        <v>-5.3505999999999998E-2</v>
      </c>
      <c r="H37">
        <v>-9.4093999999999997E-2</v>
      </c>
      <c r="I37">
        <v>-8.3849000000000007E-2</v>
      </c>
      <c r="J37">
        <v>-0.121346</v>
      </c>
      <c r="K37">
        <v>-0.117466</v>
      </c>
      <c r="L37">
        <v>1.8564000000000001E-2</v>
      </c>
      <c r="M37">
        <v>7.6E-3</v>
      </c>
      <c r="N37">
        <v>5.8500000000000003E-2</v>
      </c>
    </row>
    <row r="38" spans="1:14" x14ac:dyDescent="0.35">
      <c r="A38" s="1">
        <v>43496</v>
      </c>
      <c r="B38">
        <v>7.8199000000000005E-2</v>
      </c>
      <c r="C38">
        <v>0.10834100000000001</v>
      </c>
      <c r="D38">
        <v>8.8293999999999997E-2</v>
      </c>
      <c r="E38">
        <v>2.0999999999999999E-3</v>
      </c>
      <c r="F38">
        <v>0.103431</v>
      </c>
      <c r="G38">
        <v>6.6349000000000005E-2</v>
      </c>
      <c r="H38">
        <v>7.6361999999999999E-2</v>
      </c>
      <c r="I38">
        <v>8.8609999999999994E-2</v>
      </c>
      <c r="J38">
        <v>0.10907600000000001</v>
      </c>
      <c r="K38">
        <v>0.115714</v>
      </c>
      <c r="L38">
        <v>3.3681999999999997E-2</v>
      </c>
      <c r="M38">
        <v>2.5110000000000002E-3</v>
      </c>
      <c r="N38">
        <v>3.7859999999999999E-3</v>
      </c>
    </row>
    <row r="39" spans="1:14" x14ac:dyDescent="0.35">
      <c r="A39" s="1">
        <v>43524</v>
      </c>
      <c r="B39">
        <v>4.1026E-2</v>
      </c>
      <c r="C39">
        <v>3.9792000000000001E-2</v>
      </c>
      <c r="D39">
        <v>3.2724000000000003E-2</v>
      </c>
      <c r="E39">
        <v>1.8E-3</v>
      </c>
      <c r="F39">
        <v>-1.5313E-2</v>
      </c>
      <c r="G39">
        <v>2.5367000000000001E-2</v>
      </c>
      <c r="H39">
        <v>3.1959000000000001E-2</v>
      </c>
      <c r="I39">
        <v>3.5927000000000001E-2</v>
      </c>
      <c r="J39">
        <v>3.8987000000000001E-2</v>
      </c>
      <c r="K39">
        <v>6.4501000000000003E-2</v>
      </c>
      <c r="L39">
        <v>-2.0349999999999999E-3</v>
      </c>
      <c r="M39">
        <v>8.6499999999999999E-4</v>
      </c>
      <c r="N39">
        <v>-1.3752E-2</v>
      </c>
    </row>
    <row r="40" spans="1:14" x14ac:dyDescent="0.35">
      <c r="A40" s="1">
        <v>43553</v>
      </c>
      <c r="B40">
        <v>3.1668000000000002E-2</v>
      </c>
      <c r="C40">
        <v>8.3199999999999995E-4</v>
      </c>
      <c r="D40">
        <v>1.2962E-2</v>
      </c>
      <c r="E40">
        <v>1.9E-3</v>
      </c>
      <c r="F40">
        <v>1.1310000000000001E-2</v>
      </c>
      <c r="G40">
        <v>9.1800000000000007E-3</v>
      </c>
      <c r="H40">
        <v>6.5490000000000001E-3</v>
      </c>
      <c r="I40">
        <v>2.8188000000000001E-2</v>
      </c>
      <c r="J40">
        <v>-2.8267E-2</v>
      </c>
      <c r="K40">
        <v>-1.2827E-2</v>
      </c>
      <c r="L40">
        <v>2.9298999999999999E-2</v>
      </c>
      <c r="M40">
        <v>6.2740000000000001E-3</v>
      </c>
      <c r="N40">
        <v>5.5739999999999998E-2</v>
      </c>
    </row>
    <row r="41" spans="1:14" x14ac:dyDescent="0.35">
      <c r="A41" s="1">
        <v>43585</v>
      </c>
      <c r="B41">
        <v>4.5019999999999998E-2</v>
      </c>
      <c r="C41">
        <v>5.4863000000000002E-2</v>
      </c>
      <c r="D41">
        <v>3.7893000000000003E-2</v>
      </c>
      <c r="E41">
        <v>2.0999999999999999E-3</v>
      </c>
      <c r="F41">
        <v>2.3532000000000001E-2</v>
      </c>
      <c r="G41">
        <v>2.9294000000000001E-2</v>
      </c>
      <c r="H41">
        <v>3.4497E-2</v>
      </c>
      <c r="I41">
        <v>4.4396999999999999E-2</v>
      </c>
      <c r="J41">
        <v>3.6947000000000001E-2</v>
      </c>
      <c r="K41">
        <v>2.9543E-2</v>
      </c>
      <c r="L41">
        <v>4.3750000000000004E-3</v>
      </c>
      <c r="M41">
        <v>1.8339999999999999E-3</v>
      </c>
      <c r="N41">
        <v>-1.9878E-2</v>
      </c>
    </row>
    <row r="42" spans="1:14" x14ac:dyDescent="0.35">
      <c r="A42" s="1">
        <v>43616</v>
      </c>
      <c r="B42">
        <v>-3.1983999999999999E-2</v>
      </c>
      <c r="C42">
        <v>-5.9102000000000002E-2</v>
      </c>
      <c r="D42">
        <v>-6.1678999999999998E-2</v>
      </c>
      <c r="E42">
        <v>2.0999999999999999E-3</v>
      </c>
      <c r="F42">
        <v>-7.3298000000000002E-2</v>
      </c>
      <c r="G42">
        <v>-5.033E-2</v>
      </c>
      <c r="H42">
        <v>-6.4031000000000005E-2</v>
      </c>
      <c r="I42">
        <v>-6.25E-2</v>
      </c>
      <c r="J42">
        <v>-8.1959000000000004E-2</v>
      </c>
      <c r="K42">
        <v>-7.3591000000000004E-2</v>
      </c>
      <c r="L42">
        <v>1.6503E-2</v>
      </c>
      <c r="M42">
        <v>7.2240000000000004E-3</v>
      </c>
      <c r="N42">
        <v>6.8381999999999998E-2</v>
      </c>
    </row>
    <row r="43" spans="1:14" x14ac:dyDescent="0.35">
      <c r="A43" s="1">
        <v>43644</v>
      </c>
      <c r="B43">
        <v>6.0687999999999999E-2</v>
      </c>
      <c r="C43">
        <v>6.4489000000000005E-2</v>
      </c>
      <c r="D43">
        <v>6.7792000000000005E-2</v>
      </c>
      <c r="E43">
        <v>1.8E-3</v>
      </c>
      <c r="F43">
        <v>6.2057000000000001E-2</v>
      </c>
      <c r="G43">
        <v>5.9102000000000002E-2</v>
      </c>
      <c r="H43">
        <v>6.9989999999999997E-2</v>
      </c>
      <c r="I43">
        <v>6.4655000000000004E-2</v>
      </c>
      <c r="J43">
        <v>6.0949999999999997E-2</v>
      </c>
      <c r="K43">
        <v>7.2669999999999998E-2</v>
      </c>
      <c r="L43">
        <v>3.2455999999999999E-2</v>
      </c>
      <c r="M43">
        <v>4.6020000000000002E-3</v>
      </c>
      <c r="N43">
        <v>9.4839999999999994E-3</v>
      </c>
    </row>
    <row r="44" spans="1:14" x14ac:dyDescent="0.35">
      <c r="A44" s="1">
        <v>43677</v>
      </c>
      <c r="B44">
        <v>2.6065000000000001E-2</v>
      </c>
      <c r="C44">
        <v>2.1243000000000001E-2</v>
      </c>
      <c r="D44">
        <v>1.1854E-2</v>
      </c>
      <c r="E44">
        <v>1.9E-3</v>
      </c>
      <c r="F44">
        <v>-2.6567E-2</v>
      </c>
      <c r="G44">
        <v>-1.9474000000000002E-2</v>
      </c>
      <c r="H44">
        <v>9.5899999999999996E-3</v>
      </c>
      <c r="I44">
        <v>2.5295999999999999E-2</v>
      </c>
      <c r="J44">
        <v>3.8170000000000001E-3</v>
      </c>
      <c r="K44">
        <v>1.3043000000000001E-2</v>
      </c>
      <c r="L44">
        <v>2.5309999999999998E-3</v>
      </c>
      <c r="M44">
        <v>-6.38E-4</v>
      </c>
      <c r="N44">
        <v>2.5709999999999999E-3</v>
      </c>
    </row>
    <row r="45" spans="1:14" x14ac:dyDescent="0.35">
      <c r="A45" s="1">
        <v>43707</v>
      </c>
      <c r="B45">
        <v>-4.3369999999999997E-3</v>
      </c>
      <c r="C45">
        <v>-9.2449999999999997E-3</v>
      </c>
      <c r="D45">
        <v>-2.0338999999999999E-2</v>
      </c>
      <c r="E45">
        <v>1.6000000000000001E-3</v>
      </c>
      <c r="F45">
        <v>-3.7825999999999999E-2</v>
      </c>
      <c r="G45">
        <v>-1.924E-2</v>
      </c>
      <c r="H45">
        <v>-3.0053E-2</v>
      </c>
      <c r="I45">
        <v>-8.6160000000000004E-3</v>
      </c>
      <c r="J45">
        <v>-5.5885999999999998E-2</v>
      </c>
      <c r="K45">
        <v>-4.3195999999999998E-2</v>
      </c>
      <c r="L45">
        <v>3.8835000000000001E-2</v>
      </c>
      <c r="M45">
        <v>7.8130000000000005E-3</v>
      </c>
      <c r="N45">
        <v>0.110448</v>
      </c>
    </row>
    <row r="46" spans="1:14" x14ac:dyDescent="0.35">
      <c r="A46" s="1">
        <v>43738</v>
      </c>
      <c r="B46">
        <v>-9.9559999999999996E-3</v>
      </c>
      <c r="C46">
        <v>1.2442E-2</v>
      </c>
      <c r="D46">
        <v>1.6032999999999999E-2</v>
      </c>
      <c r="E46">
        <v>1.8E-3</v>
      </c>
      <c r="F46">
        <v>1.6920000000000001E-2</v>
      </c>
      <c r="G46">
        <v>3.1641000000000002E-2</v>
      </c>
      <c r="H46">
        <v>3.6166999999999998E-2</v>
      </c>
      <c r="I46">
        <v>8.1899999999999996E-4</v>
      </c>
      <c r="J46">
        <v>5.0618999999999997E-2</v>
      </c>
      <c r="K46">
        <v>-8.1410000000000007E-3</v>
      </c>
      <c r="L46">
        <v>-7.5550000000000001E-3</v>
      </c>
      <c r="M46">
        <v>-1.341E-3</v>
      </c>
      <c r="N46">
        <v>-2.6800000000000001E-2</v>
      </c>
    </row>
    <row r="47" spans="1:14" x14ac:dyDescent="0.35">
      <c r="A47" s="1">
        <v>43769</v>
      </c>
      <c r="B47">
        <v>1.7599E-2</v>
      </c>
      <c r="C47">
        <v>2.1505E-2</v>
      </c>
      <c r="D47">
        <v>1.9257E-2</v>
      </c>
      <c r="E47">
        <v>1.5E-3</v>
      </c>
      <c r="F47">
        <v>4.1840000000000002E-2</v>
      </c>
      <c r="G47">
        <v>3.3890999999999998E-2</v>
      </c>
      <c r="H47">
        <v>1.4112E-2</v>
      </c>
      <c r="I47">
        <v>2.8253E-2</v>
      </c>
      <c r="J47">
        <v>2.4955999999999999E-2</v>
      </c>
      <c r="K47">
        <v>2.9989999999999999E-2</v>
      </c>
      <c r="L47">
        <v>4.4450000000000002E-3</v>
      </c>
      <c r="M47">
        <v>3.127E-3</v>
      </c>
      <c r="N47">
        <v>-1.1136999999999999E-2</v>
      </c>
    </row>
    <row r="48" spans="1:14" x14ac:dyDescent="0.35">
      <c r="A48" s="1">
        <v>43798</v>
      </c>
      <c r="B48">
        <v>3.1501000000000001E-2</v>
      </c>
      <c r="C48">
        <v>3.8345999999999998E-2</v>
      </c>
      <c r="D48">
        <v>3.4999000000000002E-2</v>
      </c>
      <c r="E48">
        <v>1.1999999999999999E-3</v>
      </c>
      <c r="F48">
        <v>-9.3899999999999995E-4</v>
      </c>
      <c r="G48">
        <v>1.1273E-2</v>
      </c>
      <c r="H48">
        <v>3.083E-2</v>
      </c>
      <c r="I48">
        <v>4.4413000000000001E-2</v>
      </c>
      <c r="J48">
        <v>2.2305999999999999E-2</v>
      </c>
      <c r="K48">
        <v>5.7729999999999997E-2</v>
      </c>
      <c r="L48">
        <v>4.7479999999999996E-3</v>
      </c>
      <c r="M48">
        <v>-4.7600000000000002E-4</v>
      </c>
      <c r="N48">
        <v>-4.0679999999999996E-3</v>
      </c>
    </row>
    <row r="49" spans="1:14" x14ac:dyDescent="0.35">
      <c r="A49" s="1">
        <v>43830</v>
      </c>
      <c r="B49">
        <v>3.3668999999999998E-2</v>
      </c>
      <c r="C49">
        <v>2.3966999999999999E-2</v>
      </c>
      <c r="D49">
        <v>2.8489E-2</v>
      </c>
      <c r="E49">
        <v>1.4E-3</v>
      </c>
      <c r="F49">
        <v>7.7114000000000002E-2</v>
      </c>
      <c r="G49">
        <v>2.9829999999999999E-2</v>
      </c>
      <c r="H49">
        <v>2.6582999999999999E-2</v>
      </c>
      <c r="I49">
        <v>2.8857000000000001E-2</v>
      </c>
      <c r="J49">
        <v>3.4106999999999998E-2</v>
      </c>
      <c r="K49">
        <v>2.2610000000000002E-2</v>
      </c>
      <c r="L49">
        <v>5.2849999999999998E-3</v>
      </c>
      <c r="M49">
        <v>1.5460000000000001E-3</v>
      </c>
      <c r="N49">
        <v>-3.1961000000000003E-2</v>
      </c>
    </row>
    <row r="50" spans="1:14" x14ac:dyDescent="0.35">
      <c r="A50" s="1">
        <v>43861</v>
      </c>
      <c r="B50">
        <v>2.656E-2</v>
      </c>
      <c r="C50">
        <v>7.7279999999999996E-3</v>
      </c>
      <c r="D50">
        <v>-1.7279999999999999E-3</v>
      </c>
      <c r="E50">
        <v>1.2999999999999999E-3</v>
      </c>
      <c r="F50">
        <v>-6.1511000000000003E-2</v>
      </c>
      <c r="G50">
        <v>-2.8226000000000001E-2</v>
      </c>
      <c r="H50">
        <v>-2.1395000000000001E-2</v>
      </c>
      <c r="I50">
        <v>2.2623999999999998E-2</v>
      </c>
      <c r="J50">
        <v>-5.2419E-2</v>
      </c>
      <c r="K50">
        <v>-1.0410000000000001E-2</v>
      </c>
      <c r="L50">
        <v>2.4461E-2</v>
      </c>
      <c r="M50">
        <v>5.79E-3</v>
      </c>
      <c r="N50">
        <v>7.6911999999999994E-2</v>
      </c>
    </row>
    <row r="51" spans="1:14" x14ac:dyDescent="0.35">
      <c r="A51" s="1">
        <v>43889</v>
      </c>
      <c r="B51">
        <v>-6.3176999999999997E-2</v>
      </c>
      <c r="C51">
        <v>-7.2853000000000001E-2</v>
      </c>
      <c r="D51">
        <v>-7.7918000000000001E-2</v>
      </c>
      <c r="E51">
        <v>1.1999999999999999E-3</v>
      </c>
      <c r="F51">
        <v>-3.7758E-2</v>
      </c>
      <c r="G51">
        <v>-7.7653E-2</v>
      </c>
      <c r="H51">
        <v>-9.2917E-2</v>
      </c>
      <c r="I51">
        <v>-6.6314999999999999E-2</v>
      </c>
      <c r="J51">
        <v>-9.6273999999999998E-2</v>
      </c>
      <c r="K51">
        <v>-7.0569000000000007E-2</v>
      </c>
      <c r="L51">
        <v>1.0914E-2</v>
      </c>
      <c r="M51">
        <v>8.7650000000000002E-3</v>
      </c>
      <c r="N51">
        <v>6.6266000000000005E-2</v>
      </c>
    </row>
    <row r="52" spans="1:14" x14ac:dyDescent="0.35">
      <c r="A52" s="1">
        <v>43921</v>
      </c>
      <c r="B52">
        <v>-9.1842999999999994E-2</v>
      </c>
      <c r="C52">
        <v>-0.133995</v>
      </c>
      <c r="D52">
        <v>-0.141733</v>
      </c>
      <c r="E52">
        <v>1.1999999999999999E-3</v>
      </c>
      <c r="F52">
        <v>-0.15770000000000001</v>
      </c>
      <c r="G52">
        <v>-0.141067</v>
      </c>
      <c r="H52">
        <v>-0.17453099999999999</v>
      </c>
      <c r="I52">
        <v>-0.10047</v>
      </c>
      <c r="J52">
        <v>-0.25077199999999999</v>
      </c>
      <c r="K52">
        <v>-0.195551</v>
      </c>
      <c r="L52">
        <v>-6.3114000000000003E-2</v>
      </c>
      <c r="M52">
        <v>1.2441000000000001E-2</v>
      </c>
      <c r="N52">
        <v>6.3780000000000003E-2</v>
      </c>
    </row>
    <row r="53" spans="1:14" x14ac:dyDescent="0.35">
      <c r="A53" s="1">
        <v>43951</v>
      </c>
      <c r="B53">
        <v>0.14427200000000001</v>
      </c>
      <c r="C53">
        <v>0.13753599999999999</v>
      </c>
      <c r="D53">
        <v>0.12967400000000001</v>
      </c>
      <c r="E53">
        <v>0</v>
      </c>
      <c r="F53">
        <v>7.3541999999999996E-2</v>
      </c>
      <c r="G53">
        <v>5.8173999999999997E-2</v>
      </c>
      <c r="H53">
        <v>0.111817</v>
      </c>
      <c r="I53">
        <v>0.146897</v>
      </c>
      <c r="J53">
        <v>0.12531999999999999</v>
      </c>
      <c r="K53">
        <v>0.15281</v>
      </c>
      <c r="L53">
        <v>4.8496999999999998E-2</v>
      </c>
      <c r="M53">
        <v>2.7260000000000001E-3</v>
      </c>
      <c r="N53">
        <v>1.2168999999999999E-2</v>
      </c>
    </row>
    <row r="54" spans="1:14" x14ac:dyDescent="0.35">
      <c r="A54" s="1">
        <v>43980</v>
      </c>
      <c r="B54">
        <v>6.4894999999999994E-2</v>
      </c>
      <c r="C54">
        <v>7.2207999999999994E-2</v>
      </c>
      <c r="D54">
        <v>5.3739000000000002E-2</v>
      </c>
      <c r="E54">
        <v>1E-4</v>
      </c>
      <c r="F54">
        <v>2.9749000000000001E-2</v>
      </c>
      <c r="G54">
        <v>5.4268999999999998E-2</v>
      </c>
      <c r="H54">
        <v>3.4914000000000001E-2</v>
      </c>
      <c r="I54">
        <v>6.6790000000000002E-2</v>
      </c>
      <c r="J54">
        <v>3.1199000000000001E-2</v>
      </c>
      <c r="K54">
        <v>9.3507000000000007E-2</v>
      </c>
      <c r="L54">
        <v>2.4614E-2</v>
      </c>
      <c r="M54">
        <v>-7.7899999999999996E-4</v>
      </c>
      <c r="N54">
        <v>-1.7628999999999999E-2</v>
      </c>
    </row>
    <row r="55" spans="1:14" x14ac:dyDescent="0.35">
      <c r="A55" s="1">
        <v>44012</v>
      </c>
      <c r="B55">
        <v>3.1341000000000001E-2</v>
      </c>
      <c r="C55">
        <v>3.0540000000000001E-2</v>
      </c>
      <c r="D55">
        <v>2.5298999999999999E-2</v>
      </c>
      <c r="E55">
        <v>1E-4</v>
      </c>
      <c r="F55">
        <v>6.6113000000000005E-2</v>
      </c>
      <c r="G55">
        <v>3.5048000000000003E-2</v>
      </c>
      <c r="H55">
        <v>-7.1459999999999996E-3</v>
      </c>
      <c r="I55">
        <v>4.342E-2</v>
      </c>
      <c r="J55">
        <v>2.8403000000000001E-2</v>
      </c>
      <c r="K55">
        <v>3.9144999999999999E-2</v>
      </c>
      <c r="L55">
        <v>2.1276E-2</v>
      </c>
      <c r="M55">
        <v>2.32E-4</v>
      </c>
      <c r="N55">
        <v>3.3760000000000001E-3</v>
      </c>
    </row>
    <row r="56" spans="1:14" x14ac:dyDescent="0.35">
      <c r="A56" s="1">
        <v>44043</v>
      </c>
      <c r="B56">
        <v>6.9218000000000002E-2</v>
      </c>
      <c r="C56">
        <v>6.9149000000000002E-2</v>
      </c>
      <c r="D56">
        <v>5.5531999999999998E-2</v>
      </c>
      <c r="E56">
        <v>1E-4</v>
      </c>
      <c r="F56">
        <v>8.2520999999999997E-2</v>
      </c>
      <c r="G56">
        <v>1.9386E-2</v>
      </c>
      <c r="H56">
        <v>4.0045999999999998E-2</v>
      </c>
      <c r="I56">
        <v>7.7781000000000003E-2</v>
      </c>
      <c r="J56">
        <v>2.0931999999999999E-2</v>
      </c>
      <c r="K56">
        <v>3.4853000000000002E-2</v>
      </c>
      <c r="L56">
        <v>3.0994000000000001E-2</v>
      </c>
      <c r="M56">
        <v>9.3199999999999999E-4</v>
      </c>
      <c r="N56">
        <v>4.4352000000000003E-2</v>
      </c>
    </row>
    <row r="57" spans="1:14" x14ac:dyDescent="0.35">
      <c r="A57" s="1">
        <v>44074</v>
      </c>
      <c r="B57">
        <v>8.0526E-2</v>
      </c>
      <c r="C57">
        <v>7.1072999999999997E-2</v>
      </c>
      <c r="D57">
        <v>6.8442000000000003E-2</v>
      </c>
      <c r="E57">
        <v>1E-4</v>
      </c>
      <c r="F57">
        <v>2.8875000000000001E-2</v>
      </c>
      <c r="G57">
        <v>4.7219999999999998E-2</v>
      </c>
      <c r="H57">
        <v>4.0808999999999998E-2</v>
      </c>
      <c r="I57">
        <v>0.101701</v>
      </c>
      <c r="J57">
        <v>5.3668E-2</v>
      </c>
      <c r="K57">
        <v>5.8109000000000001E-2</v>
      </c>
      <c r="L57">
        <v>-1.7783E-2</v>
      </c>
      <c r="M57">
        <v>-2.2599999999999999E-4</v>
      </c>
      <c r="N57">
        <v>-5.0458999999999997E-2</v>
      </c>
    </row>
    <row r="58" spans="1:14" x14ac:dyDescent="0.35">
      <c r="A58" s="1">
        <v>44104</v>
      </c>
      <c r="B58">
        <v>-3.8967000000000002E-2</v>
      </c>
      <c r="C58">
        <v>-2.7869999999999999E-2</v>
      </c>
      <c r="D58">
        <v>-3.5055999999999997E-2</v>
      </c>
      <c r="E58">
        <v>1E-4</v>
      </c>
      <c r="F58">
        <v>-1.0102999999999999E-2</v>
      </c>
      <c r="G58">
        <v>-2.0468E-2</v>
      </c>
      <c r="H58">
        <v>-2.4927000000000001E-2</v>
      </c>
      <c r="I58">
        <v>-4.6404000000000001E-2</v>
      </c>
      <c r="J58">
        <v>-4.6827000000000001E-2</v>
      </c>
      <c r="K58">
        <v>-2.0567999999999999E-2</v>
      </c>
      <c r="L58">
        <v>-4.4099999999999999E-3</v>
      </c>
      <c r="M58" s="12">
        <v>-1.0000000000000001E-5</v>
      </c>
      <c r="N58">
        <v>7.7210000000000004E-3</v>
      </c>
    </row>
    <row r="59" spans="1:14" x14ac:dyDescent="0.35">
      <c r="A59" s="1">
        <v>44134</v>
      </c>
      <c r="B59">
        <v>-4.0547E-2</v>
      </c>
      <c r="C59">
        <v>-3.8225000000000002E-2</v>
      </c>
      <c r="D59">
        <v>-2.0178000000000001E-2</v>
      </c>
      <c r="E59">
        <v>1E-4</v>
      </c>
      <c r="F59">
        <v>1.4062E-2</v>
      </c>
      <c r="G59">
        <v>-3.5506999999999997E-2</v>
      </c>
      <c r="H59">
        <v>-1.1851E-2</v>
      </c>
      <c r="I59">
        <v>-3.3703999999999998E-2</v>
      </c>
      <c r="J59">
        <v>3.6846999999999998E-2</v>
      </c>
      <c r="K59">
        <v>7.4489999999999999E-3</v>
      </c>
      <c r="L59">
        <v>-5.1060000000000003E-3</v>
      </c>
      <c r="M59">
        <v>-4.6200000000000001E-4</v>
      </c>
      <c r="N59">
        <v>-3.3854000000000002E-2</v>
      </c>
    </row>
    <row r="60" spans="1:14" x14ac:dyDescent="0.35">
      <c r="A60" s="1">
        <v>44165</v>
      </c>
      <c r="B60">
        <v>0.116218</v>
      </c>
      <c r="C60">
        <v>9.5812999999999995E-2</v>
      </c>
      <c r="D60">
        <v>0.123707</v>
      </c>
      <c r="E60">
        <v>1E-4</v>
      </c>
      <c r="F60">
        <v>8.9913000000000007E-2</v>
      </c>
      <c r="G60">
        <v>0.14269399999999999</v>
      </c>
      <c r="H60">
        <v>0.134241</v>
      </c>
      <c r="I60">
        <v>0.10335</v>
      </c>
      <c r="J60">
        <v>0.19060099999999999</v>
      </c>
      <c r="K60">
        <v>0.17663699999999999</v>
      </c>
      <c r="L60">
        <v>3.7704000000000001E-2</v>
      </c>
      <c r="M60">
        <v>2.1499999999999999E-4</v>
      </c>
      <c r="N60">
        <v>1.6633999999999999E-2</v>
      </c>
    </row>
    <row r="61" spans="1:14" x14ac:dyDescent="0.35">
      <c r="A61" s="1">
        <v>44196</v>
      </c>
      <c r="B61">
        <v>4.6568999999999999E-2</v>
      </c>
      <c r="C61">
        <v>3.8404000000000001E-2</v>
      </c>
      <c r="D61">
        <v>4.5047999999999998E-2</v>
      </c>
      <c r="E61">
        <v>1E-4</v>
      </c>
      <c r="F61">
        <v>7.1349999999999997E-2</v>
      </c>
      <c r="G61">
        <v>5.0154999999999998E-2</v>
      </c>
      <c r="H61">
        <v>3.7316000000000002E-2</v>
      </c>
      <c r="I61">
        <v>4.4489000000000001E-2</v>
      </c>
      <c r="J61">
        <v>7.9922999999999994E-2</v>
      </c>
      <c r="K61">
        <v>9.3028E-2</v>
      </c>
      <c r="L61">
        <v>1.511E-3</v>
      </c>
      <c r="M61">
        <v>4.0400000000000001E-4</v>
      </c>
      <c r="N61">
        <v>-1.2259000000000001E-2</v>
      </c>
    </row>
    <row r="62" spans="1:14" x14ac:dyDescent="0.35">
      <c r="A62" s="1">
        <v>44225</v>
      </c>
      <c r="B62">
        <v>-3.1469999999999998E-2</v>
      </c>
      <c r="C62">
        <v>-2.4967E-2</v>
      </c>
      <c r="D62">
        <v>-6.3100000000000005E-4</v>
      </c>
      <c r="E62">
        <v>0</v>
      </c>
      <c r="F62">
        <v>3.1739999999999997E-2</v>
      </c>
      <c r="G62">
        <v>-7.8130000000000005E-3</v>
      </c>
      <c r="H62">
        <v>-9.4350000000000007E-3</v>
      </c>
      <c r="I62">
        <v>-7.8790000000000006E-3</v>
      </c>
      <c r="J62">
        <v>5.0473999999999998E-2</v>
      </c>
      <c r="K62">
        <v>4.7750000000000001E-2</v>
      </c>
      <c r="L62">
        <v>-1.8315999999999999E-2</v>
      </c>
      <c r="M62">
        <v>2.32E-4</v>
      </c>
      <c r="N62">
        <v>-3.6327999999999999E-2</v>
      </c>
    </row>
    <row r="63" spans="1:14" x14ac:dyDescent="0.35">
      <c r="A63" s="1">
        <v>44253</v>
      </c>
      <c r="B63">
        <v>4.3161999999999999E-2</v>
      </c>
      <c r="C63">
        <v>2.5606E-2</v>
      </c>
      <c r="D63">
        <v>2.9196E-2</v>
      </c>
      <c r="E63">
        <v>0</v>
      </c>
      <c r="F63">
        <v>7.8779999999999996E-3</v>
      </c>
      <c r="G63">
        <v>2.2379E-2</v>
      </c>
      <c r="H63">
        <v>5.9952999999999999E-2</v>
      </c>
      <c r="I63">
        <v>-2.9300000000000002E-4</v>
      </c>
      <c r="J63">
        <v>9.5376000000000002E-2</v>
      </c>
      <c r="K63">
        <v>3.1226E-2</v>
      </c>
      <c r="L63">
        <v>-2.2634999999999999E-2</v>
      </c>
      <c r="M63">
        <v>-5.7799999999999995E-4</v>
      </c>
      <c r="N63">
        <v>-5.7332000000000001E-2</v>
      </c>
    </row>
    <row r="64" spans="1:14" x14ac:dyDescent="0.35">
      <c r="A64" s="1">
        <v>44286</v>
      </c>
      <c r="B64">
        <v>1.1158E-2</v>
      </c>
      <c r="C64">
        <v>4.6649000000000003E-2</v>
      </c>
      <c r="D64">
        <v>3.0572999999999999E-2</v>
      </c>
      <c r="E64">
        <v>0</v>
      </c>
      <c r="F64">
        <v>-7.2589999999999998E-3</v>
      </c>
      <c r="G64">
        <v>2.5132000000000002E-2</v>
      </c>
      <c r="H64">
        <v>5.9975000000000001E-2</v>
      </c>
      <c r="I64">
        <v>1.7686E-2</v>
      </c>
      <c r="J64">
        <v>5.4539999999999998E-2</v>
      </c>
      <c r="K64">
        <v>-2.8412E-2</v>
      </c>
      <c r="L64">
        <v>-1.4781000000000001E-2</v>
      </c>
      <c r="M64">
        <v>-5.5599999999999996E-4</v>
      </c>
      <c r="N64">
        <v>-5.2439E-2</v>
      </c>
    </row>
    <row r="65" spans="1:14" x14ac:dyDescent="0.35">
      <c r="A65" s="1">
        <v>44316</v>
      </c>
      <c r="B65">
        <v>6.8505999999999997E-2</v>
      </c>
      <c r="C65">
        <v>5.4614000000000003E-2</v>
      </c>
      <c r="D65">
        <v>4.8189999999999997E-2</v>
      </c>
      <c r="E65">
        <v>0</v>
      </c>
      <c r="F65">
        <v>1.1998999999999999E-2</v>
      </c>
      <c r="G65">
        <v>2.9524000000000002E-2</v>
      </c>
      <c r="H65">
        <v>3.9591000000000001E-2</v>
      </c>
      <c r="I65">
        <v>6.8712999999999996E-2</v>
      </c>
      <c r="J65">
        <v>1.8248E-2</v>
      </c>
      <c r="K65">
        <v>1.9519000000000002E-2</v>
      </c>
      <c r="L65">
        <v>1.0418999999999999E-2</v>
      </c>
      <c r="M65">
        <v>5.7200000000000003E-4</v>
      </c>
      <c r="N65">
        <v>2.4929E-2</v>
      </c>
    </row>
    <row r="66" spans="1:14" x14ac:dyDescent="0.35">
      <c r="A66" s="1">
        <v>44344</v>
      </c>
      <c r="B66">
        <v>-1.7210000000000001E-3</v>
      </c>
      <c r="C66">
        <v>-5.9500000000000004E-4</v>
      </c>
      <c r="D66">
        <v>7.0920000000000002E-3</v>
      </c>
      <c r="E66">
        <v>0</v>
      </c>
      <c r="F66">
        <v>1.6487999999999999E-2</v>
      </c>
      <c r="G66">
        <v>3.4823E-2</v>
      </c>
      <c r="H66">
        <v>2.2723E-2</v>
      </c>
      <c r="I66">
        <v>-1.3860000000000001E-2</v>
      </c>
      <c r="J66">
        <v>3.1716000000000001E-2</v>
      </c>
      <c r="K66">
        <v>-2.7625E-2</v>
      </c>
      <c r="L66">
        <v>6.2230000000000002E-3</v>
      </c>
      <c r="M66">
        <v>6.0599999999999998E-4</v>
      </c>
      <c r="N66" s="12">
        <v>2.0999999999999999E-5</v>
      </c>
    </row>
    <row r="67" spans="1:14" x14ac:dyDescent="0.35">
      <c r="A67" s="1">
        <v>44377</v>
      </c>
      <c r="B67">
        <v>4.9138000000000001E-2</v>
      </c>
      <c r="C67">
        <v>3.2758000000000002E-2</v>
      </c>
      <c r="D67">
        <v>2.3421999999999998E-2</v>
      </c>
      <c r="E67">
        <v>0</v>
      </c>
      <c r="F67">
        <v>9.4660000000000005E-3</v>
      </c>
      <c r="G67">
        <v>-1.0819E-2</v>
      </c>
      <c r="H67">
        <v>-1.1990000000000001E-2</v>
      </c>
      <c r="I67">
        <v>6.1117999999999999E-2</v>
      </c>
      <c r="J67">
        <v>-8.2360000000000003E-3</v>
      </c>
      <c r="K67">
        <v>4.5893000000000003E-2</v>
      </c>
      <c r="L67">
        <v>2.2110999999999999E-2</v>
      </c>
      <c r="M67">
        <v>-1.714E-3</v>
      </c>
      <c r="N67">
        <v>4.4193000000000003E-2</v>
      </c>
    </row>
    <row r="68" spans="1:14" x14ac:dyDescent="0.35">
      <c r="A68" s="1">
        <v>44407</v>
      </c>
      <c r="B68">
        <v>3.6976000000000002E-2</v>
      </c>
      <c r="C68">
        <v>4.3253E-2</v>
      </c>
      <c r="D68">
        <v>1.1828E-2</v>
      </c>
      <c r="E68">
        <v>0</v>
      </c>
      <c r="F68">
        <v>-6.4369999999999997E-2</v>
      </c>
      <c r="G68">
        <v>7.7330000000000003E-3</v>
      </c>
      <c r="H68">
        <v>8.5109999999999995E-3</v>
      </c>
      <c r="I68">
        <v>3.3814999999999998E-2</v>
      </c>
      <c r="J68">
        <v>-3.5048999999999997E-2</v>
      </c>
      <c r="K68">
        <v>-3.7345000000000003E-2</v>
      </c>
      <c r="L68">
        <v>1.4192E-2</v>
      </c>
      <c r="M68">
        <v>1.604E-3</v>
      </c>
      <c r="N68">
        <v>3.7163000000000002E-2</v>
      </c>
    </row>
    <row r="69" spans="1:14" x14ac:dyDescent="0.35">
      <c r="A69" s="1">
        <v>44439</v>
      </c>
      <c r="B69">
        <v>2.7338000000000001E-2</v>
      </c>
      <c r="C69">
        <v>2.5427999999999999E-2</v>
      </c>
      <c r="D69">
        <v>2.7146E-2</v>
      </c>
      <c r="E69">
        <v>0</v>
      </c>
      <c r="F69">
        <v>1.5698E-2</v>
      </c>
      <c r="G69">
        <v>1.4467000000000001E-2</v>
      </c>
      <c r="H69">
        <v>1.9504000000000001E-2</v>
      </c>
      <c r="I69">
        <v>3.6484999999999997E-2</v>
      </c>
      <c r="J69">
        <v>2.5256000000000001E-2</v>
      </c>
      <c r="K69">
        <v>1.8530000000000001E-2</v>
      </c>
      <c r="L69">
        <v>-3.444E-3</v>
      </c>
      <c r="M69">
        <v>-2.61E-4</v>
      </c>
      <c r="N69">
        <v>-3.4139999999999999E-3</v>
      </c>
    </row>
    <row r="70" spans="1:14" x14ac:dyDescent="0.35">
      <c r="A70" s="1">
        <v>44469</v>
      </c>
      <c r="B70">
        <v>-5.1291999999999997E-2</v>
      </c>
      <c r="C70">
        <v>-5.5525999999999999E-2</v>
      </c>
      <c r="D70">
        <v>-4.2243000000000003E-2</v>
      </c>
      <c r="E70">
        <v>0</v>
      </c>
      <c r="F70">
        <v>-3.8732999999999997E-2</v>
      </c>
      <c r="G70">
        <v>-3.2613999999999997E-2</v>
      </c>
      <c r="H70">
        <v>-3.5464000000000002E-2</v>
      </c>
      <c r="I70">
        <v>-5.6455999999999999E-2</v>
      </c>
      <c r="J70">
        <v>-1.8287999999999999E-2</v>
      </c>
      <c r="K70">
        <v>-3.8383E-2</v>
      </c>
      <c r="L70">
        <v>-1.5076000000000001E-2</v>
      </c>
      <c r="M70">
        <v>-1.011E-3</v>
      </c>
      <c r="N70">
        <v>-2.9069999999999999E-2</v>
      </c>
    </row>
    <row r="71" spans="1:14" x14ac:dyDescent="0.35">
      <c r="A71" s="1">
        <v>44498</v>
      </c>
      <c r="B71">
        <v>9.0649999999999994E-2</v>
      </c>
      <c r="C71">
        <v>7.0776000000000006E-2</v>
      </c>
      <c r="D71">
        <v>6.4651E-2</v>
      </c>
      <c r="E71">
        <v>0</v>
      </c>
      <c r="F71">
        <v>1.0718999999999999E-2</v>
      </c>
      <c r="G71">
        <v>3.1791E-2</v>
      </c>
      <c r="H71">
        <v>5.1306999999999998E-2</v>
      </c>
      <c r="I71">
        <v>8.7431999999999996E-2</v>
      </c>
      <c r="J71">
        <v>3.8381999999999999E-2</v>
      </c>
      <c r="K71">
        <v>4.7107000000000003E-2</v>
      </c>
      <c r="L71">
        <v>5.2989999999999999E-3</v>
      </c>
      <c r="M71">
        <v>-3.359E-3</v>
      </c>
      <c r="N71">
        <v>2.4639999999999999E-2</v>
      </c>
    </row>
    <row r="72" spans="1:14" x14ac:dyDescent="0.35">
      <c r="A72" s="1">
        <v>44530</v>
      </c>
      <c r="B72">
        <v>2.6090000000000002E-3</v>
      </c>
      <c r="C72">
        <v>1.5989999999999999E-3</v>
      </c>
      <c r="D72">
        <v>-1.8350999999999999E-2</v>
      </c>
      <c r="E72">
        <v>0</v>
      </c>
      <c r="F72">
        <v>-4.0848000000000002E-2</v>
      </c>
      <c r="G72">
        <v>-4.5346999999999998E-2</v>
      </c>
      <c r="H72">
        <v>-3.5674999999999998E-2</v>
      </c>
      <c r="I72">
        <v>6.3090000000000004E-3</v>
      </c>
      <c r="J72">
        <v>-3.5520999999999997E-2</v>
      </c>
      <c r="K72">
        <v>-4.9867000000000002E-2</v>
      </c>
      <c r="L72">
        <v>-1.1800000000000001E-3</v>
      </c>
      <c r="M72">
        <v>-5.71E-4</v>
      </c>
      <c r="N72">
        <v>2.7726000000000001E-2</v>
      </c>
    </row>
    <row r="73" spans="1:14" x14ac:dyDescent="0.35">
      <c r="A73" s="1">
        <v>44561</v>
      </c>
      <c r="B73">
        <v>1.617E-2</v>
      </c>
      <c r="C73">
        <v>5.7350999999999999E-2</v>
      </c>
      <c r="D73">
        <v>3.3341000000000003E-2</v>
      </c>
      <c r="E73">
        <v>1E-4</v>
      </c>
      <c r="F73">
        <v>1.5292E-2</v>
      </c>
      <c r="G73">
        <v>4.4089000000000003E-2</v>
      </c>
      <c r="H73">
        <v>6.3004000000000004E-2</v>
      </c>
      <c r="I73">
        <v>2.0396999999999998E-2</v>
      </c>
      <c r="J73">
        <v>4.0583000000000001E-2</v>
      </c>
      <c r="K73">
        <v>4.28E-3</v>
      </c>
      <c r="L73">
        <v>-3.39E-4</v>
      </c>
      <c r="M73">
        <v>-2.1229999999999999E-3</v>
      </c>
      <c r="N73">
        <v>-2.0147000000000002E-2</v>
      </c>
    </row>
    <row r="74" spans="1:14" x14ac:dyDescent="0.35">
      <c r="A74" s="1">
        <v>44592</v>
      </c>
      <c r="B74">
        <v>-0.10466</v>
      </c>
      <c r="C74">
        <v>-7.8645999999999994E-2</v>
      </c>
      <c r="D74">
        <v>-5.9822E-2</v>
      </c>
      <c r="E74">
        <v>0</v>
      </c>
      <c r="F74">
        <v>-2.05E-4</v>
      </c>
      <c r="G74">
        <v>-3.635E-2</v>
      </c>
      <c r="H74">
        <v>-2.3699999999999999E-2</v>
      </c>
      <c r="I74">
        <v>-8.6816000000000004E-2</v>
      </c>
      <c r="J74">
        <v>-5.8476E-2</v>
      </c>
      <c r="K74">
        <v>-0.13417499999999999</v>
      </c>
      <c r="L74">
        <v>-3.5919E-2</v>
      </c>
      <c r="M74">
        <v>-6.8970000000000004E-3</v>
      </c>
      <c r="N74">
        <v>-3.9139E-2</v>
      </c>
    </row>
    <row r="75" spans="1:14" x14ac:dyDescent="0.35">
      <c r="A75" s="1">
        <v>44620</v>
      </c>
      <c r="B75">
        <v>-3.9676000000000003E-2</v>
      </c>
      <c r="C75">
        <v>-4.8014000000000001E-2</v>
      </c>
      <c r="D75">
        <v>-2.1838E-2</v>
      </c>
      <c r="E75">
        <v>0</v>
      </c>
      <c r="F75">
        <v>-4.3201999999999997E-2</v>
      </c>
      <c r="G75">
        <v>-3.4292000000000003E-2</v>
      </c>
      <c r="H75">
        <v>-1.2016000000000001E-2</v>
      </c>
      <c r="I75">
        <v>-4.1640000000000003E-2</v>
      </c>
      <c r="J75">
        <v>1.5351E-2</v>
      </c>
      <c r="K75">
        <v>5.5180000000000003E-3</v>
      </c>
      <c r="L75">
        <v>-2.1318E-2</v>
      </c>
      <c r="M75">
        <v>-4.3179999999999998E-3</v>
      </c>
      <c r="N75">
        <v>-1.6324999999999999E-2</v>
      </c>
    </row>
    <row r="76" spans="1:14" x14ac:dyDescent="0.35">
      <c r="A76" s="1">
        <v>44651</v>
      </c>
      <c r="B76">
        <v>2.0879999999999999E-2</v>
      </c>
      <c r="C76">
        <v>3.6115000000000001E-2</v>
      </c>
      <c r="D76">
        <v>3.0505999999999998E-2</v>
      </c>
      <c r="E76">
        <v>0</v>
      </c>
      <c r="F76">
        <v>-3.3811000000000001E-2</v>
      </c>
      <c r="G76">
        <v>5.1900000000000002E-3</v>
      </c>
      <c r="H76">
        <v>2.9034999999999998E-2</v>
      </c>
      <c r="I76">
        <v>3.9614999999999997E-2</v>
      </c>
      <c r="J76">
        <v>2.0022000000000002E-2</v>
      </c>
      <c r="K76">
        <v>3.3050000000000002E-3</v>
      </c>
      <c r="L76">
        <v>-2.8947000000000001E-2</v>
      </c>
      <c r="M76">
        <v>-1.4014E-2</v>
      </c>
      <c r="N76">
        <v>-5.4460000000000001E-2</v>
      </c>
    </row>
    <row r="77" spans="1:14" x14ac:dyDescent="0.35">
      <c r="A77" s="1">
        <v>44680</v>
      </c>
      <c r="B77">
        <v>-0.13751099999999999</v>
      </c>
      <c r="C77">
        <v>-7.2716000000000003E-2</v>
      </c>
      <c r="D77">
        <v>-8.9386999999999994E-2</v>
      </c>
      <c r="E77">
        <v>0</v>
      </c>
      <c r="F77">
        <v>-6.1351000000000003E-2</v>
      </c>
      <c r="G77">
        <v>-6.7391000000000006E-2</v>
      </c>
      <c r="H77">
        <v>-5.7536999999999998E-2</v>
      </c>
      <c r="I77">
        <v>-0.122033</v>
      </c>
      <c r="J77">
        <v>-7.7942999999999998E-2</v>
      </c>
      <c r="K77">
        <v>-0.121838</v>
      </c>
      <c r="L77">
        <v>-6.7001000000000005E-2</v>
      </c>
      <c r="M77">
        <v>-4.9649999999999998E-3</v>
      </c>
      <c r="N77">
        <v>-9.4245999999999996E-2</v>
      </c>
    </row>
    <row r="78" spans="1:14" x14ac:dyDescent="0.35">
      <c r="A78" s="1">
        <v>44712</v>
      </c>
      <c r="B78">
        <v>-1.4631999999999999E-2</v>
      </c>
      <c r="C78">
        <v>1.2960000000000001E-3</v>
      </c>
      <c r="D78">
        <v>-2.1129999999999999E-3</v>
      </c>
      <c r="E78">
        <v>2.9999999999999997E-4</v>
      </c>
      <c r="F78">
        <v>6.1349999999999998E-3</v>
      </c>
      <c r="G78">
        <v>1.9959000000000001E-2</v>
      </c>
      <c r="H78">
        <v>1.9817000000000001E-2</v>
      </c>
      <c r="I78">
        <v>-2.2851E-2</v>
      </c>
      <c r="J78">
        <v>1.9285E-2</v>
      </c>
      <c r="K78">
        <v>-1.8345E-2</v>
      </c>
      <c r="L78">
        <v>1.8648999999999999E-2</v>
      </c>
      <c r="M78">
        <v>5.9569999999999996E-3</v>
      </c>
      <c r="N78">
        <v>-2.2502999999999999E-2</v>
      </c>
    </row>
    <row r="79" spans="1:14" x14ac:dyDescent="0.35">
      <c r="A79" s="1">
        <v>44742</v>
      </c>
      <c r="B79">
        <v>-8.4997000000000003E-2</v>
      </c>
      <c r="C79">
        <v>-7.4434E-2</v>
      </c>
      <c r="D79">
        <v>-8.3997000000000002E-2</v>
      </c>
      <c r="E79">
        <v>5.9999999999999995E-4</v>
      </c>
      <c r="F79">
        <v>-5.1386000000000001E-2</v>
      </c>
      <c r="G79">
        <v>-8.7248999999999993E-2</v>
      </c>
      <c r="H79">
        <v>-8.7482000000000004E-2</v>
      </c>
      <c r="I79">
        <v>-8.0237000000000003E-2</v>
      </c>
      <c r="J79">
        <v>-9.8985000000000004E-2</v>
      </c>
      <c r="K79">
        <v>-6.3172000000000006E-2</v>
      </c>
      <c r="L79">
        <v>-3.6216999999999999E-2</v>
      </c>
      <c r="M79">
        <v>-5.9449999999999998E-3</v>
      </c>
      <c r="N79">
        <v>-1.274E-2</v>
      </c>
    </row>
    <row r="80" spans="1:14" x14ac:dyDescent="0.35">
      <c r="A80" s="1">
        <v>44771</v>
      </c>
      <c r="B80">
        <v>0.12870699999999999</v>
      </c>
      <c r="C80">
        <v>8.9510000000000006E-2</v>
      </c>
      <c r="D80">
        <v>9.0351000000000001E-2</v>
      </c>
      <c r="E80">
        <v>8.0000000000000004E-4</v>
      </c>
      <c r="F80">
        <v>-3.4910000000000002E-3</v>
      </c>
      <c r="G80">
        <v>5.1687999999999998E-2</v>
      </c>
      <c r="H80">
        <v>6.5945000000000004E-2</v>
      </c>
      <c r="I80">
        <v>0.121033</v>
      </c>
      <c r="J80">
        <v>9.6216999999999997E-2</v>
      </c>
      <c r="K80">
        <v>0.112937</v>
      </c>
      <c r="L80">
        <v>4.4408999999999997E-2</v>
      </c>
      <c r="M80">
        <v>4.0959999999999998E-3</v>
      </c>
      <c r="N80">
        <v>2.4289000000000002E-2</v>
      </c>
    </row>
    <row r="81" spans="1:14" x14ac:dyDescent="0.35">
      <c r="A81" s="1">
        <v>44804</v>
      </c>
      <c r="B81">
        <v>-6.2468999999999997E-2</v>
      </c>
      <c r="C81">
        <v>-4.2361999999999997E-2</v>
      </c>
      <c r="D81">
        <v>-3.6233000000000001E-2</v>
      </c>
      <c r="E81">
        <v>1.9E-3</v>
      </c>
      <c r="F81">
        <v>-1.3263E-2</v>
      </c>
      <c r="G81">
        <v>-6.1169000000000001E-2</v>
      </c>
      <c r="H81">
        <v>-2.9574E-2</v>
      </c>
      <c r="I81">
        <v>-4.6743E-2</v>
      </c>
      <c r="J81">
        <v>-3.0620000000000001E-2</v>
      </c>
      <c r="K81">
        <v>-8.6230000000000005E-3</v>
      </c>
      <c r="L81">
        <v>-4.4297000000000003E-2</v>
      </c>
      <c r="M81">
        <v>-8.097E-3</v>
      </c>
      <c r="N81">
        <v>-4.5571E-2</v>
      </c>
    </row>
    <row r="82" spans="1:14" x14ac:dyDescent="0.35">
      <c r="A82" s="1">
        <v>44834</v>
      </c>
      <c r="B82">
        <v>-0.102062</v>
      </c>
      <c r="C82">
        <v>-7.5736999999999999E-2</v>
      </c>
      <c r="D82">
        <v>-9.1323000000000001E-2</v>
      </c>
      <c r="E82">
        <v>1.9E-3</v>
      </c>
      <c r="F82">
        <v>-0.115394</v>
      </c>
      <c r="G82">
        <v>-9.2219999999999996E-2</v>
      </c>
      <c r="H82">
        <v>-8.6997000000000005E-2</v>
      </c>
      <c r="I82">
        <v>-9.7302E-2</v>
      </c>
      <c r="J82">
        <v>-0.102634</v>
      </c>
      <c r="K82">
        <v>-8.9607000000000006E-2</v>
      </c>
      <c r="L82">
        <v>-5.978E-2</v>
      </c>
      <c r="M82">
        <v>-1.1917000000000001E-2</v>
      </c>
      <c r="N82">
        <v>-8.2313999999999998E-2</v>
      </c>
    </row>
    <row r="83" spans="1:14" x14ac:dyDescent="0.35">
      <c r="A83" s="1">
        <v>44865</v>
      </c>
      <c r="B83">
        <v>4.7703000000000002E-2</v>
      </c>
      <c r="C83">
        <v>8.3393999999999996E-2</v>
      </c>
      <c r="D83">
        <v>7.7394000000000004E-2</v>
      </c>
      <c r="E83">
        <v>2.3E-3</v>
      </c>
      <c r="F83">
        <v>-1.9782000000000001E-2</v>
      </c>
      <c r="G83">
        <v>5.8917999999999998E-2</v>
      </c>
      <c r="H83">
        <v>0.10111000000000001</v>
      </c>
      <c r="I83">
        <v>5.7889999999999997E-2</v>
      </c>
      <c r="J83">
        <v>0.12712300000000001</v>
      </c>
      <c r="K83">
        <v>9.5213000000000006E-2</v>
      </c>
      <c r="L83">
        <v>-7.5100000000000002E-3</v>
      </c>
      <c r="M83">
        <v>-1.2600000000000001E-3</v>
      </c>
      <c r="N83">
        <v>-5.9678000000000002E-2</v>
      </c>
    </row>
    <row r="84" spans="1:14" x14ac:dyDescent="0.35">
      <c r="A84" s="1">
        <v>44895</v>
      </c>
      <c r="B84">
        <v>6.8015999999999993E-2</v>
      </c>
      <c r="C84">
        <v>6.3588000000000006E-2</v>
      </c>
      <c r="D84">
        <v>5.2353999999999998E-2</v>
      </c>
      <c r="E84">
        <v>2.8999999999999998E-3</v>
      </c>
      <c r="F84">
        <v>0.155894</v>
      </c>
      <c r="G84">
        <v>0.13168099999999999</v>
      </c>
      <c r="H84">
        <v>6.1774000000000003E-2</v>
      </c>
      <c r="I84">
        <v>4.5061999999999998E-2</v>
      </c>
      <c r="J84">
        <v>2.8351000000000001E-2</v>
      </c>
      <c r="K84">
        <v>1.4187E-2</v>
      </c>
      <c r="L84">
        <v>6.6453999999999999E-2</v>
      </c>
      <c r="M84">
        <v>6.9360000000000003E-3</v>
      </c>
      <c r="N84">
        <v>7.1482000000000004E-2</v>
      </c>
    </row>
    <row r="85" spans="1:14" x14ac:dyDescent="0.35">
      <c r="A85" s="1">
        <v>44925</v>
      </c>
      <c r="B85">
        <v>-6.9345000000000004E-2</v>
      </c>
      <c r="C85">
        <v>-4.1692E-2</v>
      </c>
      <c r="D85">
        <v>-5.7119999999999997E-2</v>
      </c>
      <c r="E85">
        <v>3.3E-3</v>
      </c>
      <c r="F85">
        <v>-2.6471000000000001E-2</v>
      </c>
      <c r="G85">
        <v>-1.8178E-2</v>
      </c>
      <c r="H85">
        <v>-4.0195000000000002E-2</v>
      </c>
      <c r="I85">
        <v>-7.6670000000000002E-2</v>
      </c>
      <c r="J85">
        <v>-6.5985000000000002E-2</v>
      </c>
      <c r="K85">
        <v>-6.3027E-2</v>
      </c>
      <c r="L85">
        <v>-1.5556E-2</v>
      </c>
      <c r="M85">
        <v>1.1739999999999999E-3</v>
      </c>
      <c r="N85">
        <v>-2.6277999999999999E-2</v>
      </c>
    </row>
    <row r="86" spans="1:14" x14ac:dyDescent="0.35">
      <c r="A86" s="1">
        <v>44957</v>
      </c>
      <c r="B86">
        <v>8.4378999999999996E-2</v>
      </c>
      <c r="C86">
        <v>4.6544000000000002E-2</v>
      </c>
      <c r="D86">
        <v>7.1822999999999998E-2</v>
      </c>
      <c r="E86">
        <v>3.5000000000000001E-3</v>
      </c>
      <c r="F86">
        <v>9.1292999999999999E-2</v>
      </c>
      <c r="G86">
        <v>9.0037000000000006E-2</v>
      </c>
      <c r="H86">
        <v>5.1434000000000001E-2</v>
      </c>
      <c r="I86">
        <v>8.3270999999999998E-2</v>
      </c>
      <c r="J86">
        <v>9.6631999999999996E-2</v>
      </c>
      <c r="K86">
        <v>9.9944000000000005E-2</v>
      </c>
      <c r="L86">
        <v>5.1597999999999998E-2</v>
      </c>
      <c r="M86">
        <v>7.7609999999999997E-3</v>
      </c>
      <c r="N86">
        <v>7.6436000000000004E-2</v>
      </c>
    </row>
    <row r="87" spans="1:14" x14ac:dyDescent="0.35">
      <c r="A87" s="1">
        <v>44985</v>
      </c>
      <c r="B87">
        <v>-3.6803000000000002E-2</v>
      </c>
      <c r="C87">
        <v>-2.0889000000000001E-2</v>
      </c>
      <c r="D87">
        <v>-2.4666E-2</v>
      </c>
      <c r="E87">
        <v>3.3999999999999998E-3</v>
      </c>
      <c r="F87">
        <v>-7.5676999999999994E-2</v>
      </c>
      <c r="G87">
        <v>-3.0748000000000001E-2</v>
      </c>
      <c r="H87">
        <v>-3.5246E-2</v>
      </c>
      <c r="I87">
        <v>-1.1892E-2</v>
      </c>
      <c r="J87">
        <v>-2.2818000000000001E-2</v>
      </c>
      <c r="K87">
        <v>-1.2290000000000001E-2</v>
      </c>
      <c r="L87">
        <v>-4.172E-2</v>
      </c>
      <c r="M87">
        <v>-8.0569999999999999E-3</v>
      </c>
      <c r="N87">
        <v>-4.8529999999999997E-2</v>
      </c>
    </row>
    <row r="88" spans="1:14" x14ac:dyDescent="0.35">
      <c r="A88" s="1">
        <v>45016</v>
      </c>
      <c r="B88">
        <v>6.9869000000000001E-2</v>
      </c>
      <c r="C88">
        <v>4.1293999999999997E-2</v>
      </c>
      <c r="D88">
        <v>2.3949999999999999E-2</v>
      </c>
      <c r="E88">
        <v>3.5999999999999999E-3</v>
      </c>
      <c r="F88">
        <v>3.2174000000000001E-2</v>
      </c>
      <c r="G88">
        <v>3.1290999999999999E-2</v>
      </c>
      <c r="H88">
        <v>-5.0039999999999998E-3</v>
      </c>
      <c r="I88">
        <v>6.7793999999999993E-2</v>
      </c>
      <c r="J88">
        <v>-7.3023000000000005E-2</v>
      </c>
      <c r="K88">
        <v>-2.4712000000000001E-2</v>
      </c>
      <c r="L88">
        <v>3.8505999999999999E-2</v>
      </c>
      <c r="M88">
        <v>1.6487000000000002E-2</v>
      </c>
      <c r="N88">
        <v>4.8418999999999997E-2</v>
      </c>
    </row>
    <row r="89" spans="1:14" x14ac:dyDescent="0.35">
      <c r="A89" s="1">
        <v>45044</v>
      </c>
      <c r="B89">
        <v>3.0102E-2</v>
      </c>
      <c r="C89">
        <v>1.3219E-2</v>
      </c>
      <c r="D89">
        <v>8.9759999999999996E-3</v>
      </c>
      <c r="E89">
        <v>3.5000000000000001E-3</v>
      </c>
      <c r="F89">
        <v>-8.3630000000000006E-3</v>
      </c>
      <c r="G89">
        <v>2.9361999999999999E-2</v>
      </c>
      <c r="H89">
        <v>1.5565000000000001E-2</v>
      </c>
      <c r="I89">
        <v>1.0232E-2</v>
      </c>
      <c r="J89">
        <v>-2.5252E-2</v>
      </c>
      <c r="K89">
        <v>-1.1551000000000001E-2</v>
      </c>
      <c r="L89">
        <v>6.0260000000000001E-3</v>
      </c>
      <c r="M89">
        <v>2.4390000000000002E-3</v>
      </c>
      <c r="N89">
        <v>3.369E-3</v>
      </c>
    </row>
    <row r="90" spans="1:14" x14ac:dyDescent="0.35">
      <c r="A90" s="1">
        <v>45077</v>
      </c>
      <c r="B90">
        <v>3.9128000000000003E-2</v>
      </c>
      <c r="C90">
        <v>-1.305E-3</v>
      </c>
      <c r="D90">
        <v>7.0899999999999999E-4</v>
      </c>
      <c r="E90">
        <v>3.5999999999999999E-3</v>
      </c>
      <c r="F90">
        <v>-2.4022000000000002E-2</v>
      </c>
      <c r="G90">
        <v>-4.0071000000000002E-2</v>
      </c>
      <c r="H90">
        <v>-3.8866999999999999E-2</v>
      </c>
      <c r="I90">
        <v>4.6873999999999999E-2</v>
      </c>
      <c r="J90">
        <v>-1.8193999999999998E-2</v>
      </c>
      <c r="K90">
        <v>1.6949999999999999E-3</v>
      </c>
      <c r="L90">
        <v>-1.7638999999999998E-2</v>
      </c>
      <c r="M90">
        <v>-3.7620000000000002E-3</v>
      </c>
      <c r="N90">
        <v>-3.0079999999999999E-2</v>
      </c>
    </row>
    <row r="91" spans="1:14" x14ac:dyDescent="0.35">
      <c r="A91" s="1">
        <v>45107</v>
      </c>
      <c r="B91">
        <v>4.6711000000000003E-2</v>
      </c>
      <c r="C91">
        <v>6.2051000000000002E-2</v>
      </c>
      <c r="D91">
        <v>6.6183000000000006E-2</v>
      </c>
      <c r="E91">
        <v>4.0000000000000001E-3</v>
      </c>
      <c r="F91">
        <v>4.4026999999999997E-2</v>
      </c>
      <c r="G91">
        <v>4.4872000000000002E-2</v>
      </c>
      <c r="H91">
        <v>6.6303000000000001E-2</v>
      </c>
      <c r="I91">
        <v>6.6534999999999997E-2</v>
      </c>
      <c r="J91">
        <v>7.8479999999999994E-2</v>
      </c>
      <c r="K91">
        <v>8.2078999999999999E-2</v>
      </c>
      <c r="L91">
        <v>8.0890000000000007E-3</v>
      </c>
      <c r="M91">
        <v>-4.9490000000000003E-3</v>
      </c>
      <c r="N91">
        <v>2.1610000000000002E-3</v>
      </c>
    </row>
    <row r="92" spans="1:14" x14ac:dyDescent="0.35">
      <c r="A92" s="1">
        <v>45138</v>
      </c>
      <c r="B92">
        <v>2.4135E-2</v>
      </c>
      <c r="C92">
        <v>2.6445E-2</v>
      </c>
      <c r="D92">
        <v>3.5617000000000003E-2</v>
      </c>
      <c r="E92">
        <v>4.4999999999999997E-3</v>
      </c>
      <c r="F92">
        <v>6.0415000000000003E-2</v>
      </c>
      <c r="G92">
        <v>2.7033999999999999E-2</v>
      </c>
      <c r="H92">
        <v>3.5228000000000002E-2</v>
      </c>
      <c r="I92">
        <v>3.4376999999999998E-2</v>
      </c>
      <c r="J92">
        <v>7.4148000000000006E-2</v>
      </c>
      <c r="K92">
        <v>4.6897000000000001E-2</v>
      </c>
      <c r="L92">
        <v>5.4900000000000001E-4</v>
      </c>
      <c r="M92">
        <v>3.045E-3</v>
      </c>
      <c r="N92">
        <v>-2.5430000000000001E-2</v>
      </c>
    </row>
    <row r="93" spans="1:14" x14ac:dyDescent="0.35">
      <c r="A93" s="1">
        <v>45169</v>
      </c>
      <c r="B93">
        <v>-1.3339999999999999E-3</v>
      </c>
      <c r="C93">
        <v>-1.6177E-2</v>
      </c>
      <c r="D93">
        <v>-2.0608000000000001E-2</v>
      </c>
      <c r="E93">
        <v>4.4999999999999997E-3</v>
      </c>
      <c r="F93">
        <v>-6.6268999999999995E-2</v>
      </c>
      <c r="G93">
        <v>-3.9350000000000003E-2</v>
      </c>
      <c r="H93">
        <v>-2.6991000000000001E-2</v>
      </c>
      <c r="I93">
        <v>-9.5910000000000006E-3</v>
      </c>
      <c r="J93">
        <v>-4.7738999999999997E-2</v>
      </c>
      <c r="K93">
        <v>-5.2630000000000003E-2</v>
      </c>
      <c r="L93">
        <v>-1.2252000000000001E-2</v>
      </c>
      <c r="M93">
        <v>4.104E-3</v>
      </c>
      <c r="N93">
        <v>-3.1373999999999999E-2</v>
      </c>
    </row>
    <row r="94" spans="1:14" x14ac:dyDescent="0.35">
      <c r="A94" s="1">
        <v>45198</v>
      </c>
      <c r="B94">
        <v>-4.7195000000000001E-2</v>
      </c>
      <c r="C94">
        <v>-4.2021999999999997E-2</v>
      </c>
      <c r="D94">
        <v>-4.7391000000000003E-2</v>
      </c>
      <c r="E94">
        <v>4.3E-3</v>
      </c>
      <c r="F94">
        <v>-3.1146E-2</v>
      </c>
      <c r="G94">
        <v>-3.6488E-2</v>
      </c>
      <c r="H94">
        <v>-3.8834E-2</v>
      </c>
      <c r="I94">
        <v>-5.4634000000000002E-2</v>
      </c>
      <c r="J94">
        <v>-5.2188999999999999E-2</v>
      </c>
      <c r="K94">
        <v>-6.6726999999999995E-2</v>
      </c>
      <c r="L94">
        <v>-3.5545E-2</v>
      </c>
      <c r="M94">
        <v>-7.9100000000000004E-4</v>
      </c>
      <c r="N94">
        <v>-7.9472000000000001E-2</v>
      </c>
    </row>
    <row r="95" spans="1:14" x14ac:dyDescent="0.35">
      <c r="A95" s="1">
        <v>45230</v>
      </c>
      <c r="B95">
        <v>-6.0749999999999997E-3</v>
      </c>
      <c r="C95">
        <v>-6.3599999999999996E-4</v>
      </c>
      <c r="D95">
        <v>-2.8864999999999998E-2</v>
      </c>
      <c r="E95">
        <v>4.7000000000000002E-3</v>
      </c>
      <c r="F95">
        <v>-3.2938000000000002E-2</v>
      </c>
      <c r="G95">
        <v>-2.9019E-2</v>
      </c>
      <c r="H95">
        <v>-3.5568000000000002E-2</v>
      </c>
      <c r="I95">
        <v>-1.4586999999999999E-2</v>
      </c>
      <c r="J95">
        <v>-6.0124999999999998E-2</v>
      </c>
      <c r="K95">
        <v>-7.6555999999999999E-2</v>
      </c>
      <c r="L95">
        <v>-2.4084000000000001E-2</v>
      </c>
      <c r="M95">
        <v>3.3340000000000002E-3</v>
      </c>
      <c r="N95">
        <v>-5.4580999999999998E-2</v>
      </c>
    </row>
    <row r="96" spans="1:14" x14ac:dyDescent="0.35">
      <c r="A96" s="1">
        <v>45260</v>
      </c>
      <c r="B96">
        <v>0.112835</v>
      </c>
      <c r="C96">
        <v>8.2060999999999995E-2</v>
      </c>
      <c r="D96">
        <v>9.2052999999999996E-2</v>
      </c>
      <c r="E96">
        <v>4.4000000000000003E-3</v>
      </c>
      <c r="F96">
        <v>7.7928999999999998E-2</v>
      </c>
      <c r="G96">
        <v>8.2187999999999997E-2</v>
      </c>
      <c r="H96">
        <v>7.5604000000000005E-2</v>
      </c>
      <c r="I96">
        <v>0.10968700000000001</v>
      </c>
      <c r="J96">
        <v>9.0815999999999994E-2</v>
      </c>
      <c r="K96">
        <v>9.1066999999999995E-2</v>
      </c>
      <c r="L96">
        <v>7.5692999999999996E-2</v>
      </c>
      <c r="M96">
        <v>1.0518E-2</v>
      </c>
      <c r="N96">
        <v>9.9163000000000001E-2</v>
      </c>
    </row>
    <row r="97" spans="1:14" x14ac:dyDescent="0.35">
      <c r="A97" s="1">
        <v>45289</v>
      </c>
      <c r="B97">
        <v>4.0980000000000003E-2</v>
      </c>
      <c r="C97">
        <v>4.6538999999999997E-2</v>
      </c>
      <c r="D97">
        <v>5.3602999999999998E-2</v>
      </c>
      <c r="E97">
        <v>4.3E-3</v>
      </c>
      <c r="F97">
        <v>3.6006999999999997E-2</v>
      </c>
      <c r="G97">
        <v>5.3638999999999999E-2</v>
      </c>
      <c r="H97">
        <v>5.5508000000000002E-2</v>
      </c>
      <c r="I97">
        <v>4.4423999999999998E-2</v>
      </c>
      <c r="J97">
        <v>0.124305</v>
      </c>
      <c r="K97">
        <v>0.119461</v>
      </c>
      <c r="L97">
        <v>4.8660000000000002E-2</v>
      </c>
      <c r="M97">
        <v>1.1016E-2</v>
      </c>
      <c r="N97">
        <v>8.6699999999999999E-2</v>
      </c>
    </row>
    <row r="98" spans="1:14" x14ac:dyDescent="0.35">
      <c r="A98" s="1">
        <v>45322</v>
      </c>
      <c r="B98">
        <v>4.1396000000000002E-2</v>
      </c>
      <c r="C98">
        <v>2.6667E-2</v>
      </c>
      <c r="D98">
        <v>7.5599999999999999E-3</v>
      </c>
      <c r="E98">
        <v>4.7000000000000002E-3</v>
      </c>
      <c r="F98">
        <v>-4.5261999999999997E-2</v>
      </c>
      <c r="G98">
        <v>-4.5120000000000004E-3</v>
      </c>
      <c r="H98">
        <v>6.0499999999999996E-4</v>
      </c>
      <c r="I98">
        <v>2.4375999999999998E-2</v>
      </c>
      <c r="J98">
        <v>-4.6288999999999997E-2</v>
      </c>
      <c r="K98">
        <v>-3.1123999999999999E-2</v>
      </c>
      <c r="L98">
        <v>-4.4279999999999996E-3</v>
      </c>
      <c r="M98">
        <v>3.1689999999999999E-3</v>
      </c>
      <c r="N98">
        <v>-2.2450999999999999E-2</v>
      </c>
    </row>
    <row r="99" spans="1:14" x14ac:dyDescent="0.35">
      <c r="A99" s="1">
        <v>45351</v>
      </c>
      <c r="B99">
        <v>7.6772999999999994E-2</v>
      </c>
      <c r="C99">
        <v>5.5489999999999998E-2</v>
      </c>
      <c r="D99">
        <v>5.0583000000000003E-2</v>
      </c>
      <c r="E99">
        <v>4.1999999999999997E-3</v>
      </c>
      <c r="F99">
        <v>4.1678E-2</v>
      </c>
      <c r="G99">
        <v>2.9863000000000001E-2</v>
      </c>
      <c r="H99">
        <v>3.5742000000000003E-2</v>
      </c>
      <c r="I99">
        <v>6.6267000000000006E-2</v>
      </c>
      <c r="J99">
        <v>3.2807000000000003E-2</v>
      </c>
      <c r="K99">
        <v>8.0287999999999998E-2</v>
      </c>
      <c r="L99">
        <v>-1.9349999999999999E-2</v>
      </c>
      <c r="M99">
        <v>-3.8779999999999999E-3</v>
      </c>
      <c r="N99">
        <v>-2.2581E-2</v>
      </c>
    </row>
    <row r="100" spans="1:14" x14ac:dyDescent="0.35">
      <c r="A100" s="1">
        <v>45379</v>
      </c>
      <c r="B100">
        <v>2.4249E-2</v>
      </c>
      <c r="C100">
        <v>2.6845999999999998E-2</v>
      </c>
      <c r="D100">
        <v>3.245E-2</v>
      </c>
      <c r="E100">
        <v>4.3E-3</v>
      </c>
      <c r="F100">
        <v>2.7257E-2</v>
      </c>
      <c r="G100">
        <v>3.3785999999999997E-2</v>
      </c>
      <c r="H100">
        <v>5.0384999999999999E-2</v>
      </c>
      <c r="I100">
        <v>1.9182000000000001E-2</v>
      </c>
      <c r="J100">
        <v>4.1727E-2</v>
      </c>
      <c r="K100">
        <v>2.7102999999999999E-2</v>
      </c>
      <c r="L100">
        <v>1.5389999999999999E-2</v>
      </c>
      <c r="M100">
        <v>3.4350000000000001E-3</v>
      </c>
      <c r="N100">
        <v>7.8120000000000004E-3</v>
      </c>
    </row>
    <row r="101" spans="1:14" x14ac:dyDescent="0.35">
      <c r="A101" s="1">
        <v>45412</v>
      </c>
      <c r="B101">
        <v>-4.6289999999999998E-2</v>
      </c>
      <c r="C101">
        <v>-5.3921999999999998E-2</v>
      </c>
      <c r="D101">
        <v>-4.2723999999999998E-2</v>
      </c>
      <c r="E101">
        <v>4.7000000000000002E-3</v>
      </c>
      <c r="F101">
        <v>-2.1909999999999998E-3</v>
      </c>
      <c r="G101">
        <v>-3.2432000000000002E-2</v>
      </c>
      <c r="H101">
        <v>-4.2487999999999998E-2</v>
      </c>
      <c r="I101">
        <v>-4.2160000000000003E-2</v>
      </c>
      <c r="J101">
        <v>-6.1519999999999998E-2</v>
      </c>
      <c r="K101">
        <v>-7.5628000000000001E-2</v>
      </c>
      <c r="L101">
        <v>-3.2398000000000003E-2</v>
      </c>
      <c r="M101">
        <v>-4.4039999999999999E-3</v>
      </c>
      <c r="N101">
        <v>-6.4491999999999994E-2</v>
      </c>
    </row>
    <row r="102" spans="1:14" x14ac:dyDescent="0.35">
      <c r="A102" s="1">
        <v>45443</v>
      </c>
      <c r="B102">
        <v>3.6310000000000002E-2</v>
      </c>
      <c r="C102">
        <v>2.0725E-2</v>
      </c>
      <c r="D102">
        <v>4.6552000000000003E-2</v>
      </c>
      <c r="E102">
        <v>4.4000000000000003E-3</v>
      </c>
      <c r="F102">
        <v>1.9517E-2</v>
      </c>
      <c r="G102">
        <v>5.0602000000000001E-2</v>
      </c>
      <c r="H102">
        <v>3.3002999999999998E-2</v>
      </c>
      <c r="I102">
        <v>6.0247000000000002E-2</v>
      </c>
      <c r="J102">
        <v>4.5893999999999997E-2</v>
      </c>
      <c r="K102">
        <v>5.3131999999999999E-2</v>
      </c>
      <c r="L102">
        <v>2.2120000000000001E-2</v>
      </c>
      <c r="M102">
        <v>7.1840000000000003E-3</v>
      </c>
      <c r="N102">
        <v>2.8840999999999999E-2</v>
      </c>
    </row>
    <row r="103" spans="1:14" x14ac:dyDescent="0.35">
      <c r="A103" s="1">
        <v>45471</v>
      </c>
      <c r="B103">
        <v>6.1494E-2</v>
      </c>
      <c r="C103">
        <v>2.9892999999999999E-2</v>
      </c>
      <c r="D103">
        <v>2.6072999999999999E-2</v>
      </c>
      <c r="E103">
        <v>4.1000000000000003E-3</v>
      </c>
      <c r="F103">
        <v>2.6200000000000001E-2</v>
      </c>
      <c r="G103">
        <v>-1.8075999999999998E-2</v>
      </c>
      <c r="H103">
        <v>-1.1232000000000001E-2</v>
      </c>
      <c r="I103">
        <v>6.6147999999999998E-2</v>
      </c>
      <c r="J103">
        <v>-1.8612E-2</v>
      </c>
      <c r="K103">
        <v>-2.7139999999999998E-3</v>
      </c>
      <c r="L103">
        <v>5.9329999999999999E-3</v>
      </c>
      <c r="M103">
        <v>5.4409999999999997E-3</v>
      </c>
      <c r="N103">
        <v>1.8119E-2</v>
      </c>
    </row>
    <row r="104" spans="1:14" x14ac:dyDescent="0.35">
      <c r="A104" s="1">
        <v>45504</v>
      </c>
      <c r="B104">
        <v>-1.1788E-2</v>
      </c>
      <c r="C104">
        <v>8.7620000000000007E-3</v>
      </c>
      <c r="D104">
        <v>1.9876999999999999E-2</v>
      </c>
      <c r="E104">
        <v>4.4999999999999997E-3</v>
      </c>
      <c r="F104">
        <v>8.4530000000000004E-3</v>
      </c>
      <c r="G104">
        <v>2.5916000000000002E-2</v>
      </c>
      <c r="H104">
        <v>5.1125999999999998E-2</v>
      </c>
      <c r="I104">
        <v>-1.7337999999999999E-2</v>
      </c>
      <c r="J104">
        <v>0.124163</v>
      </c>
      <c r="K104">
        <v>8.1628999999999993E-2</v>
      </c>
      <c r="L104">
        <v>2.64E-2</v>
      </c>
      <c r="M104">
        <v>1.1804E-2</v>
      </c>
      <c r="N104">
        <v>3.6358000000000001E-2</v>
      </c>
    </row>
    <row r="105" spans="1:14" x14ac:dyDescent="0.35">
      <c r="A105" s="1">
        <v>45534</v>
      </c>
      <c r="B105">
        <v>2.3860000000000001E-3</v>
      </c>
      <c r="C105">
        <v>1.3572000000000001E-2</v>
      </c>
      <c r="D105">
        <v>2.1569999999999999E-2</v>
      </c>
      <c r="E105">
        <v>4.7999999999999996E-3</v>
      </c>
      <c r="F105">
        <v>9.7789999999999995E-3</v>
      </c>
      <c r="G105">
        <v>3.2603E-2</v>
      </c>
      <c r="H105">
        <v>2.6883000000000001E-2</v>
      </c>
      <c r="I105">
        <v>2.0296000000000002E-2</v>
      </c>
      <c r="J105">
        <v>-2.0326E-2</v>
      </c>
      <c r="K105">
        <v>-1.1093E-2</v>
      </c>
      <c r="L105">
        <v>1.8696999999999998E-2</v>
      </c>
      <c r="M105">
        <v>8.9189999999999998E-3</v>
      </c>
      <c r="N105">
        <v>2.1082E-2</v>
      </c>
    </row>
    <row r="106" spans="1:14" x14ac:dyDescent="0.35">
      <c r="A106" s="1">
        <v>45565</v>
      </c>
      <c r="B106">
        <v>2.3120999999999999E-2</v>
      </c>
      <c r="C106">
        <v>2.196E-2</v>
      </c>
      <c r="D106">
        <v>2.0969000000000002E-2</v>
      </c>
      <c r="E106">
        <v>4.0000000000000001E-3</v>
      </c>
      <c r="F106">
        <v>5.7412999999999999E-2</v>
      </c>
      <c r="G106">
        <v>7.8329999999999997E-3</v>
      </c>
      <c r="H106">
        <v>1.3363999999999999E-2</v>
      </c>
      <c r="I106">
        <v>2.8670999999999999E-2</v>
      </c>
      <c r="J106">
        <v>-2.0699999999999999E-4</v>
      </c>
      <c r="K106">
        <v>1.3311E-2</v>
      </c>
      <c r="L106">
        <v>1.9619999999999999E-2</v>
      </c>
      <c r="M106">
        <v>7.7320000000000002E-3</v>
      </c>
      <c r="N106">
        <v>1.9938999999999998E-2</v>
      </c>
    </row>
    <row r="107" spans="1:14" x14ac:dyDescent="0.35">
      <c r="A107" s="1">
        <v>45596</v>
      </c>
      <c r="B107">
        <v>-2.6589999999999999E-3</v>
      </c>
      <c r="C107">
        <v>-5.241E-3</v>
      </c>
      <c r="D107">
        <v>-8.2990000000000008E-3</v>
      </c>
      <c r="E107">
        <v>3.8999999999999998E-3</v>
      </c>
      <c r="F107">
        <v>-3.0745999999999999E-2</v>
      </c>
      <c r="G107">
        <v>-5.2732000000000001E-2</v>
      </c>
      <c r="H107">
        <v>-1.1169999999999999E-2</v>
      </c>
      <c r="I107">
        <v>-3.7829999999999999E-3</v>
      </c>
      <c r="J107">
        <v>-1.4746E-2</v>
      </c>
      <c r="K107">
        <v>-1.2534999999999999E-2</v>
      </c>
      <c r="L107">
        <v>-3.1808999999999997E-2</v>
      </c>
      <c r="M107">
        <v>-6.2399999999999999E-3</v>
      </c>
      <c r="N107">
        <v>-5.4573000000000003E-2</v>
      </c>
    </row>
    <row r="108" spans="1:14" x14ac:dyDescent="0.35">
      <c r="A108" s="1">
        <v>45625</v>
      </c>
      <c r="B108">
        <v>6.0979999999999999E-2</v>
      </c>
      <c r="C108">
        <v>9.1675000000000006E-2</v>
      </c>
      <c r="D108">
        <v>6.4859E-2</v>
      </c>
      <c r="E108">
        <v>4.0000000000000001E-3</v>
      </c>
      <c r="F108">
        <v>-2.6772000000000001E-2</v>
      </c>
      <c r="G108">
        <v>-3.156E-3</v>
      </c>
      <c r="H108">
        <v>6.4524999999999999E-2</v>
      </c>
      <c r="I108">
        <v>6.5300999999999998E-2</v>
      </c>
      <c r="J108">
        <v>9.7165000000000001E-2</v>
      </c>
      <c r="K108">
        <v>0.124519</v>
      </c>
      <c r="L108">
        <v>1.7930999999999999E-2</v>
      </c>
      <c r="M108">
        <v>2.9640000000000001E-3</v>
      </c>
      <c r="N108">
        <v>1.9916E-2</v>
      </c>
    </row>
    <row r="109" spans="1:14" x14ac:dyDescent="0.35">
      <c r="A109" s="1">
        <v>45657</v>
      </c>
      <c r="B109">
        <v>-2.4282999999999999E-2</v>
      </c>
      <c r="C109">
        <v>-3.4984000000000001E-2</v>
      </c>
      <c r="D109">
        <v>-3.1580999999999998E-2</v>
      </c>
      <c r="E109">
        <v>3.7000000000000002E-3</v>
      </c>
      <c r="F109">
        <v>-1.6919E-2</v>
      </c>
      <c r="G109">
        <v>-2.9479000000000002E-2</v>
      </c>
      <c r="H109">
        <v>-6.8569000000000005E-2</v>
      </c>
      <c r="I109">
        <v>9.0609999999999996E-3</v>
      </c>
      <c r="J109">
        <v>-8.5053000000000004E-2</v>
      </c>
      <c r="K109">
        <v>-8.4154999999999994E-2</v>
      </c>
      <c r="L109">
        <v>-2.6713000000000001E-2</v>
      </c>
      <c r="M109">
        <v>2.5200000000000001E-3</v>
      </c>
      <c r="N109">
        <v>-6.3770999999999994E-2</v>
      </c>
    </row>
    <row r="110" spans="1:14" x14ac:dyDescent="0.35">
      <c r="A110" s="1">
        <v>45688</v>
      </c>
      <c r="B110">
        <v>1.8411E-2</v>
      </c>
      <c r="C110">
        <v>5.1152000000000003E-2</v>
      </c>
      <c r="D110">
        <v>3.2292000000000001E-2</v>
      </c>
      <c r="E110">
        <v>3.7000000000000002E-3</v>
      </c>
      <c r="F110">
        <v>2.1520999999999998E-2</v>
      </c>
      <c r="G110">
        <v>4.8009999999999997E-2</v>
      </c>
      <c r="H110">
        <v>4.5428000000000003E-2</v>
      </c>
      <c r="I110">
        <v>1.9248999999999999E-2</v>
      </c>
      <c r="J110">
        <v>2.0101000000000001E-2</v>
      </c>
      <c r="K110">
        <v>3.1581999999999999E-2</v>
      </c>
      <c r="L110">
        <v>5.803E-3</v>
      </c>
      <c r="M110">
        <v>3.7810000000000001E-3</v>
      </c>
      <c r="N110">
        <v>4.9240000000000004E-3</v>
      </c>
    </row>
    <row r="111" spans="1:14" x14ac:dyDescent="0.35">
      <c r="A111" s="1">
        <v>45716</v>
      </c>
      <c r="B111">
        <v>-4.2182999999999998E-2</v>
      </c>
      <c r="C111">
        <v>-4.6524000000000003E-2</v>
      </c>
      <c r="D111">
        <v>-1.7565999999999998E-2</v>
      </c>
      <c r="E111">
        <v>3.3E-3</v>
      </c>
      <c r="F111">
        <v>1.1469999999999999E-2</v>
      </c>
      <c r="G111">
        <v>2.9531000000000002E-2</v>
      </c>
      <c r="H111">
        <v>4.2890000000000003E-3</v>
      </c>
      <c r="I111">
        <v>-3.5938999999999999E-2</v>
      </c>
      <c r="J111">
        <v>-3.8037000000000001E-2</v>
      </c>
      <c r="K111">
        <v>-6.7731E-2</v>
      </c>
      <c r="L111">
        <v>2.3706999999999999E-2</v>
      </c>
      <c r="M111">
        <v>7.3610000000000004E-3</v>
      </c>
      <c r="N111">
        <v>5.6944000000000002E-2</v>
      </c>
    </row>
    <row r="112" spans="1:14" x14ac:dyDescent="0.35">
      <c r="A112" s="1">
        <v>45747</v>
      </c>
      <c r="B112">
        <v>-7.8992999999999994E-2</v>
      </c>
      <c r="C112">
        <v>-5.6085000000000003E-2</v>
      </c>
      <c r="D112">
        <v>-5.5122999999999998E-2</v>
      </c>
      <c r="E112">
        <v>3.3999999999999998E-3</v>
      </c>
      <c r="F112">
        <v>1.1339999999999999E-2</v>
      </c>
      <c r="G112">
        <v>1.8389999999999999E-3</v>
      </c>
      <c r="H112">
        <v>-2.7802E-2</v>
      </c>
      <c r="I112">
        <v>-8.3925E-2</v>
      </c>
      <c r="J112">
        <v>-5.9768000000000002E-2</v>
      </c>
      <c r="K112">
        <v>-7.5492000000000004E-2</v>
      </c>
      <c r="L112">
        <v>-4.6389999999999999E-3</v>
      </c>
      <c r="M112">
        <v>4.4070000000000003E-3</v>
      </c>
      <c r="N112">
        <v>-1.2063000000000001E-2</v>
      </c>
    </row>
    <row r="113" spans="1:14" x14ac:dyDescent="0.35">
      <c r="A113" s="1">
        <v>45777</v>
      </c>
      <c r="B113">
        <v>4.934E-3</v>
      </c>
      <c r="C113">
        <v>1.1884E-2</v>
      </c>
      <c r="D113">
        <v>-3.6099999999999999E-3</v>
      </c>
      <c r="E113">
        <v>3.5000000000000001E-3</v>
      </c>
      <c r="F113">
        <v>1.3730000000000001E-3</v>
      </c>
      <c r="G113">
        <v>3.6950999999999998E-2</v>
      </c>
      <c r="H113">
        <v>-3.1302999999999997E-2</v>
      </c>
      <c r="I113">
        <v>1.5786000000000001E-2</v>
      </c>
      <c r="J113">
        <v>-4.0932999999999997E-2</v>
      </c>
      <c r="K113">
        <v>-7.7489999999999998E-3</v>
      </c>
      <c r="L113">
        <v>-2.722E-3</v>
      </c>
      <c r="M113">
        <v>8.1220000000000007E-3</v>
      </c>
      <c r="N113">
        <v>-1.3639999999999999E-2</v>
      </c>
    </row>
    <row r="114" spans="1:14" x14ac:dyDescent="0.35">
      <c r="A114" s="1">
        <v>45807</v>
      </c>
      <c r="B114">
        <v>9.2899999999999996E-2</v>
      </c>
      <c r="C114">
        <v>5.6958000000000002E-2</v>
      </c>
      <c r="D114">
        <v>6.1267000000000002E-2</v>
      </c>
      <c r="E114">
        <v>3.8E-3</v>
      </c>
      <c r="F114">
        <v>4.0218999999999998E-2</v>
      </c>
      <c r="G114">
        <v>4.7905999999999997E-2</v>
      </c>
      <c r="H114">
        <v>3.4838000000000001E-2</v>
      </c>
      <c r="I114">
        <v>8.8987999999999998E-2</v>
      </c>
      <c r="J114">
        <v>4.1644E-2</v>
      </c>
      <c r="K114">
        <v>6.3380000000000006E-2</v>
      </c>
      <c r="L114">
        <v>2.078E-3</v>
      </c>
      <c r="M114">
        <v>-2.5379999999999999E-3</v>
      </c>
      <c r="N114">
        <v>-3.2092000000000002E-2</v>
      </c>
    </row>
    <row r="115" spans="1:14" x14ac:dyDescent="0.35">
      <c r="A115" s="1">
        <v>45838</v>
      </c>
      <c r="B115">
        <v>7.2564000000000003E-2</v>
      </c>
      <c r="C115">
        <v>4.7222E-2</v>
      </c>
      <c r="D115">
        <v>4.9245999999999998E-2</v>
      </c>
      <c r="E115">
        <v>3.3999999999999998E-3</v>
      </c>
      <c r="F115">
        <v>6.9887000000000005E-2</v>
      </c>
      <c r="G115">
        <v>2.3902E-2</v>
      </c>
      <c r="H115">
        <v>3.4269000000000001E-2</v>
      </c>
      <c r="I115">
        <v>6.3987000000000002E-2</v>
      </c>
      <c r="J115">
        <v>5.0631000000000002E-2</v>
      </c>
      <c r="K115">
        <v>6.1455000000000003E-2</v>
      </c>
      <c r="L115">
        <v>2.0837999999999999E-2</v>
      </c>
      <c r="M115">
        <v>5.8510000000000003E-3</v>
      </c>
      <c r="N115">
        <v>2.6669999999999999E-2</v>
      </c>
    </row>
    <row r="116" spans="1:14" x14ac:dyDescent="0.35">
      <c r="A116" s="1">
        <v>45869</v>
      </c>
      <c r="B116">
        <v>3.5116000000000001E-2</v>
      </c>
      <c r="C116">
        <v>1.6976000000000002E-2</v>
      </c>
      <c r="D116">
        <v>1.9789999999999999E-2</v>
      </c>
      <c r="E116">
        <v>3.3999999999999998E-3</v>
      </c>
      <c r="F116">
        <v>6.633E-3</v>
      </c>
      <c r="G116">
        <v>-2.0920000000000001E-2</v>
      </c>
      <c r="H116">
        <v>6.1269999999999996E-3</v>
      </c>
      <c r="I116">
        <v>3.7283999999999998E-2</v>
      </c>
      <c r="J116">
        <v>1.6670999999999998E-2</v>
      </c>
      <c r="K116">
        <v>1.5007E-2</v>
      </c>
      <c r="L116">
        <v>-9.0200000000000002E-4</v>
      </c>
      <c r="M116">
        <v>-9.1600000000000004E-4</v>
      </c>
      <c r="N116">
        <v>-1.1402000000000001E-2</v>
      </c>
    </row>
    <row r="117" spans="1:14" x14ac:dyDescent="0.35">
      <c r="A117" s="1">
        <v>45898</v>
      </c>
      <c r="B117">
        <v>5.6020000000000002E-3</v>
      </c>
      <c r="C117">
        <v>6.7809999999999997E-3</v>
      </c>
      <c r="D117">
        <v>2.4121E-2</v>
      </c>
      <c r="E117">
        <v>3.8E-3</v>
      </c>
      <c r="F117">
        <v>2.6771E-2</v>
      </c>
      <c r="G117">
        <v>4.5247000000000002E-2</v>
      </c>
      <c r="H117">
        <v>3.1778000000000001E-2</v>
      </c>
      <c r="I117">
        <v>1.1762E-2</v>
      </c>
      <c r="J117">
        <v>8.5292000000000007E-2</v>
      </c>
      <c r="K117">
        <v>6.0485999999999998E-2</v>
      </c>
      <c r="L117">
        <v>1.0401000000000001E-2</v>
      </c>
      <c r="M117">
        <v>8.8570000000000003E-3</v>
      </c>
      <c r="N117" s="12">
        <v>7.1000000000000005E-5</v>
      </c>
    </row>
    <row r="118" spans="1:14" x14ac:dyDescent="0.35">
      <c r="A118" s="1">
        <v>45930</v>
      </c>
      <c r="B118">
        <v>3.3117000000000001E-2</v>
      </c>
      <c r="C118">
        <v>3.3679000000000001E-2</v>
      </c>
      <c r="D118">
        <v>3.5625999999999998E-2</v>
      </c>
      <c r="E118">
        <v>3.3E-3</v>
      </c>
      <c r="F118">
        <v>7.0999000000000007E-2</v>
      </c>
      <c r="G118">
        <v>2.0660000000000001E-2</v>
      </c>
      <c r="H118">
        <v>1.4239999999999999E-2</v>
      </c>
      <c r="I118">
        <v>5.2191000000000001E-2</v>
      </c>
      <c r="J118">
        <v>2.0486000000000001E-2</v>
      </c>
      <c r="K118">
        <v>4.1320000000000003E-2</v>
      </c>
      <c r="L118">
        <v>1.8787999999999999E-2</v>
      </c>
      <c r="M118">
        <v>2.8830000000000001E-3</v>
      </c>
      <c r="N118">
        <v>3.594E-2</v>
      </c>
    </row>
    <row r="119" spans="1:14" x14ac:dyDescent="0.35">
      <c r="A119" s="1">
        <v>45961</v>
      </c>
      <c r="B119">
        <v>2.5165E-2</v>
      </c>
      <c r="C119">
        <v>0</v>
      </c>
      <c r="D119">
        <v>1.9285E-2</v>
      </c>
      <c r="E119">
        <v>3.7000000000000002E-3</v>
      </c>
      <c r="F119">
        <v>3.5581000000000002E-2</v>
      </c>
      <c r="G119">
        <v>1.1995E-2</v>
      </c>
      <c r="H119">
        <v>4.8139999999999997E-3</v>
      </c>
      <c r="I119">
        <v>3.6656000000000001E-2</v>
      </c>
      <c r="J119">
        <v>1.81E-3</v>
      </c>
      <c r="K119">
        <v>3.3277000000000001E-2</v>
      </c>
      <c r="L119">
        <v>1.48E-3</v>
      </c>
      <c r="M119">
        <v>3.3370000000000001E-3</v>
      </c>
      <c r="N119">
        <v>1.3807E-2</v>
      </c>
    </row>
    <row r="120" spans="1:14" x14ac:dyDescent="0.35">
      <c r="A120" s="1">
        <v>45989</v>
      </c>
      <c r="B120">
        <v>-2.4546999999999999E-2</v>
      </c>
      <c r="C120">
        <v>-1.3533999999999999E-2</v>
      </c>
      <c r="D120">
        <v>1.9940000000000001E-3</v>
      </c>
      <c r="E120">
        <v>3.0000000000000001E-3</v>
      </c>
      <c r="F120">
        <v>-1.7722000000000002E-2</v>
      </c>
      <c r="G120">
        <v>7.4079999999999997E-3</v>
      </c>
      <c r="H120">
        <v>2.6446000000000001E-2</v>
      </c>
      <c r="I120">
        <v>-1.8801999999999999E-2</v>
      </c>
      <c r="J120">
        <v>2.8792000000000002E-2</v>
      </c>
      <c r="K120">
        <v>-7.7720000000000003E-3</v>
      </c>
      <c r="L120">
        <v>9.3259999999999992E-3</v>
      </c>
      <c r="M120">
        <v>4.385E-3</v>
      </c>
      <c r="N120">
        <v>2.7339999999999999E-3</v>
      </c>
    </row>
    <row r="121" spans="1:14" x14ac:dyDescent="0.35">
      <c r="A121" s="1">
        <v>46022</v>
      </c>
      <c r="B121">
        <v>-1.8742999999999999E-2</v>
      </c>
      <c r="C121">
        <v>-1.2780000000000001E-3</v>
      </c>
      <c r="D121">
        <v>1.2960000000000001E-3</v>
      </c>
      <c r="E121">
        <v>3.3999999999999998E-3</v>
      </c>
      <c r="F121">
        <v>2.1690000000000001E-2</v>
      </c>
      <c r="G121">
        <v>2.7189000000000001E-2</v>
      </c>
      <c r="H121">
        <v>6.5909999999999996E-3</v>
      </c>
      <c r="I121">
        <v>-5.6090000000000003E-3</v>
      </c>
      <c r="J121">
        <v>1.4899999999999999E-4</v>
      </c>
      <c r="K121">
        <v>-1.3384E-2</v>
      </c>
      <c r="L121">
        <v>-7.3359999999999996E-3</v>
      </c>
      <c r="M121">
        <v>2.947E-3</v>
      </c>
      <c r="N121">
        <v>-2.6526999999999998E-2</v>
      </c>
    </row>
    <row r="122" spans="1:14" x14ac:dyDescent="0.35">
      <c r="G1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93E9-A666-47C1-A91B-7E840E53F89B}">
  <dimension ref="A1:B11"/>
  <sheetViews>
    <sheetView workbookViewId="0"/>
  </sheetViews>
  <sheetFormatPr defaultRowHeight="14.5" x14ac:dyDescent="0.35"/>
  <sheetData>
    <row r="1" spans="1:2" x14ac:dyDescent="0.35">
      <c r="A1" t="s">
        <v>3</v>
      </c>
      <c r="B1" t="s">
        <v>4</v>
      </c>
    </row>
    <row r="2" spans="1:2" x14ac:dyDescent="0.35">
      <c r="A2" t="s">
        <v>5</v>
      </c>
      <c r="B2" t="s">
        <v>6</v>
      </c>
    </row>
    <row r="3" spans="1:2" x14ac:dyDescent="0.35">
      <c r="A3" t="s">
        <v>7</v>
      </c>
      <c r="B3" t="s">
        <v>8</v>
      </c>
    </row>
    <row r="4" spans="1:2" x14ac:dyDescent="0.35">
      <c r="A4" t="s">
        <v>9</v>
      </c>
      <c r="B4" t="s">
        <v>10</v>
      </c>
    </row>
    <row r="5" spans="1:2" x14ac:dyDescent="0.35">
      <c r="A5" t="s">
        <v>11</v>
      </c>
      <c r="B5" t="s">
        <v>33</v>
      </c>
    </row>
    <row r="6" spans="1:2" x14ac:dyDescent="0.35">
      <c r="A6" t="s">
        <v>12</v>
      </c>
      <c r="B6" t="s">
        <v>13</v>
      </c>
    </row>
    <row r="7" spans="1:2" x14ac:dyDescent="0.35">
      <c r="A7" t="s">
        <v>14</v>
      </c>
      <c r="B7" t="s">
        <v>35</v>
      </c>
    </row>
    <row r="8" spans="1:2" x14ac:dyDescent="0.35">
      <c r="A8" t="s">
        <v>15</v>
      </c>
      <c r="B8" t="s">
        <v>36</v>
      </c>
    </row>
    <row r="9" spans="1:2" x14ac:dyDescent="0.35">
      <c r="A9" t="s">
        <v>16</v>
      </c>
      <c r="B9" t="s">
        <v>34</v>
      </c>
    </row>
    <row r="10" spans="1:2" x14ac:dyDescent="0.35">
      <c r="A10" t="s">
        <v>17</v>
      </c>
      <c r="B10" t="s">
        <v>37</v>
      </c>
    </row>
    <row r="11" spans="1:2" x14ac:dyDescent="0.35">
      <c r="A11" s="2" t="s">
        <v>18</v>
      </c>
      <c r="B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1AAF-4CEC-40E3-9300-539E4C23A0B3}">
  <dimension ref="A1:M48"/>
  <sheetViews>
    <sheetView workbookViewId="0"/>
  </sheetViews>
  <sheetFormatPr defaultRowHeight="14.5" x14ac:dyDescent="0.35"/>
  <cols>
    <col min="1" max="1" width="14.7265625" customWidth="1"/>
    <col min="2" max="10" width="12.54296875" customWidth="1"/>
    <col min="11" max="11" width="10.6328125" customWidth="1"/>
  </cols>
  <sheetData>
    <row r="1" spans="1:13" x14ac:dyDescent="0.35">
      <c r="A1" s="4"/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s="11" t="s">
        <v>29</v>
      </c>
    </row>
    <row r="2" spans="1:13" x14ac:dyDescent="0.35">
      <c r="A2" s="10" t="s">
        <v>32</v>
      </c>
      <c r="B2" s="6">
        <v>0.1</v>
      </c>
      <c r="C2" s="6">
        <v>0.1</v>
      </c>
      <c r="D2" s="6">
        <v>0.1</v>
      </c>
      <c r="E2" s="6">
        <v>0.1</v>
      </c>
      <c r="F2" s="6">
        <v>0.1</v>
      </c>
      <c r="G2" s="6">
        <v>0.1</v>
      </c>
      <c r="H2" s="6">
        <v>0.1</v>
      </c>
      <c r="I2" s="6">
        <v>0.1</v>
      </c>
      <c r="J2" s="6">
        <v>0.2</v>
      </c>
      <c r="K2" s="6">
        <f>SUM(B2:J2)</f>
        <v>1</v>
      </c>
    </row>
    <row r="3" spans="1:13" x14ac:dyDescent="0.35">
      <c r="A3" s="4"/>
    </row>
    <row r="4" spans="1:13" x14ac:dyDescent="0.35">
      <c r="A4" s="4" t="s">
        <v>2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L4" s="9" t="s">
        <v>0</v>
      </c>
      <c r="M4" s="7" t="s">
        <v>19</v>
      </c>
    </row>
    <row r="5" spans="1:13" x14ac:dyDescent="0.35">
      <c r="A5" s="1">
        <v>44957</v>
      </c>
      <c r="B5">
        <v>8.3270999999999998E-2</v>
      </c>
      <c r="C5">
        <v>5.1434000000000001E-2</v>
      </c>
      <c r="D5">
        <v>9.9944000000000005E-2</v>
      </c>
      <c r="E5">
        <v>9.6631999999999996E-2</v>
      </c>
      <c r="F5">
        <v>7.6436000000000004E-2</v>
      </c>
      <c r="G5">
        <v>7.7609999999999997E-3</v>
      </c>
      <c r="H5">
        <v>5.1597999999999998E-2</v>
      </c>
      <c r="I5">
        <v>9.0037000000000006E-2</v>
      </c>
      <c r="J5">
        <v>9.1292999999999999E-2</v>
      </c>
      <c r="L5">
        <v>8.4378999999999996E-2</v>
      </c>
      <c r="M5">
        <f>L5-(B5*$B$2+C5*$C$2+D5*$D$2+E5*$E$2+F5*$F$2+G5*$G$2+H5*$H$2+I5*$I$2+J5*$J$2)</f>
        <v>1.0409099999999991E-2</v>
      </c>
    </row>
    <row r="6" spans="1:13" x14ac:dyDescent="0.35">
      <c r="A6" s="1">
        <v>44985</v>
      </c>
      <c r="B6">
        <v>-1.1892E-2</v>
      </c>
      <c r="C6">
        <v>-3.5246E-2</v>
      </c>
      <c r="D6">
        <v>-1.2290000000000001E-2</v>
      </c>
      <c r="E6">
        <v>-2.2818000000000001E-2</v>
      </c>
      <c r="F6">
        <v>-4.8529999999999997E-2</v>
      </c>
      <c r="G6">
        <v>-8.0569999999999999E-3</v>
      </c>
      <c r="H6">
        <v>-4.172E-2</v>
      </c>
      <c r="I6">
        <v>-3.0748000000000001E-2</v>
      </c>
      <c r="J6">
        <v>-7.5676999999999994E-2</v>
      </c>
      <c r="L6">
        <v>-3.6803000000000002E-2</v>
      </c>
      <c r="M6">
        <f t="shared" ref="M6:M40" si="0">L6-(B6*$B$2+C6*$C$2+D6*$D$2+E6*$E$2+F6*$F$2+G6*$G$2+H6*$H$2+I6*$I$2+J6*$J$2)</f>
        <v>-5.3750000000000325E-4</v>
      </c>
    </row>
    <row r="7" spans="1:13" x14ac:dyDescent="0.35">
      <c r="A7" s="1">
        <v>45016</v>
      </c>
      <c r="B7">
        <v>6.7793999999999993E-2</v>
      </c>
      <c r="C7">
        <v>-5.0039999999999998E-3</v>
      </c>
      <c r="D7">
        <v>-2.4712000000000001E-2</v>
      </c>
      <c r="E7">
        <v>-7.3023000000000005E-2</v>
      </c>
      <c r="F7">
        <v>4.8418999999999997E-2</v>
      </c>
      <c r="G7">
        <v>1.6487000000000002E-2</v>
      </c>
      <c r="H7">
        <v>3.8505999999999999E-2</v>
      </c>
      <c r="I7">
        <v>3.1290999999999999E-2</v>
      </c>
      <c r="J7">
        <v>3.2174000000000001E-2</v>
      </c>
      <c r="L7">
        <v>6.9869000000000001E-2</v>
      </c>
      <c r="M7">
        <f t="shared" si="0"/>
        <v>5.3458400000000003E-2</v>
      </c>
    </row>
    <row r="8" spans="1:13" x14ac:dyDescent="0.35">
      <c r="A8" s="1">
        <v>45044</v>
      </c>
      <c r="B8">
        <v>1.0232E-2</v>
      </c>
      <c r="C8">
        <v>1.5565000000000001E-2</v>
      </c>
      <c r="D8">
        <v>-1.1551000000000001E-2</v>
      </c>
      <c r="E8">
        <v>-2.5252E-2</v>
      </c>
      <c r="F8">
        <v>3.369E-3</v>
      </c>
      <c r="G8">
        <v>2.4390000000000002E-3</v>
      </c>
      <c r="H8">
        <v>6.0260000000000001E-3</v>
      </c>
      <c r="I8">
        <v>2.9361999999999999E-2</v>
      </c>
      <c r="J8">
        <v>-8.3630000000000006E-3</v>
      </c>
      <c r="L8">
        <v>3.0102E-2</v>
      </c>
      <c r="M8">
        <f t="shared" si="0"/>
        <v>2.8755599999999999E-2</v>
      </c>
    </row>
    <row r="9" spans="1:13" x14ac:dyDescent="0.35">
      <c r="A9" s="1">
        <v>45077</v>
      </c>
      <c r="B9">
        <v>4.6873999999999999E-2</v>
      </c>
      <c r="C9">
        <v>-3.8866999999999999E-2</v>
      </c>
      <c r="D9">
        <v>1.6949999999999999E-3</v>
      </c>
      <c r="E9">
        <v>-1.8193999999999998E-2</v>
      </c>
      <c r="F9">
        <v>-3.0079999999999999E-2</v>
      </c>
      <c r="G9">
        <v>-3.7620000000000002E-3</v>
      </c>
      <c r="H9">
        <v>-1.7638999999999998E-2</v>
      </c>
      <c r="I9">
        <v>-4.0071000000000002E-2</v>
      </c>
      <c r="J9">
        <v>-2.4022000000000002E-2</v>
      </c>
      <c r="L9">
        <v>3.9128000000000003E-2</v>
      </c>
      <c r="M9">
        <f t="shared" si="0"/>
        <v>5.3936800000000007E-2</v>
      </c>
    </row>
    <row r="10" spans="1:13" x14ac:dyDescent="0.35">
      <c r="A10" s="1">
        <v>45107</v>
      </c>
      <c r="B10">
        <v>6.6534999999999997E-2</v>
      </c>
      <c r="C10">
        <v>6.6303000000000001E-2</v>
      </c>
      <c r="D10">
        <v>8.2078999999999999E-2</v>
      </c>
      <c r="E10">
        <v>7.8479999999999994E-2</v>
      </c>
      <c r="F10">
        <v>2.1610000000000002E-3</v>
      </c>
      <c r="G10">
        <v>-4.9490000000000003E-3</v>
      </c>
      <c r="H10">
        <v>8.0890000000000007E-3</v>
      </c>
      <c r="I10">
        <v>4.4872000000000002E-2</v>
      </c>
      <c r="J10">
        <v>4.4026999999999997E-2</v>
      </c>
      <c r="L10">
        <v>4.6711000000000003E-2</v>
      </c>
      <c r="M10">
        <f t="shared" si="0"/>
        <v>3.548599999999999E-3</v>
      </c>
    </row>
    <row r="11" spans="1:13" x14ac:dyDescent="0.35">
      <c r="A11" s="1">
        <v>45138</v>
      </c>
      <c r="B11">
        <v>3.4376999999999998E-2</v>
      </c>
      <c r="C11">
        <v>3.5228000000000002E-2</v>
      </c>
      <c r="D11">
        <v>4.6897000000000001E-2</v>
      </c>
      <c r="E11">
        <v>7.4148000000000006E-2</v>
      </c>
      <c r="F11">
        <v>-2.5430000000000001E-2</v>
      </c>
      <c r="G11">
        <v>3.045E-3</v>
      </c>
      <c r="H11">
        <v>5.4900000000000001E-4</v>
      </c>
      <c r="I11">
        <v>2.7033999999999999E-2</v>
      </c>
      <c r="J11">
        <v>6.0415000000000003E-2</v>
      </c>
      <c r="L11">
        <v>2.4135E-2</v>
      </c>
      <c r="M11">
        <f t="shared" si="0"/>
        <v>-7.5328000000000027E-3</v>
      </c>
    </row>
    <row r="12" spans="1:13" x14ac:dyDescent="0.35">
      <c r="A12" s="1">
        <v>45169</v>
      </c>
      <c r="B12">
        <v>-9.5910000000000006E-3</v>
      </c>
      <c r="C12">
        <v>-2.6991000000000001E-2</v>
      </c>
      <c r="D12">
        <v>-5.2630000000000003E-2</v>
      </c>
      <c r="E12">
        <v>-4.7738999999999997E-2</v>
      </c>
      <c r="F12">
        <v>-3.1373999999999999E-2</v>
      </c>
      <c r="G12">
        <v>4.104E-3</v>
      </c>
      <c r="H12">
        <v>-1.2252000000000001E-2</v>
      </c>
      <c r="I12">
        <v>-3.9350000000000003E-2</v>
      </c>
      <c r="J12">
        <v>-6.6268999999999995E-2</v>
      </c>
      <c r="L12">
        <v>-1.3339999999999999E-3</v>
      </c>
      <c r="M12">
        <f t="shared" si="0"/>
        <v>3.35021E-2</v>
      </c>
    </row>
    <row r="13" spans="1:13" x14ac:dyDescent="0.35">
      <c r="A13" s="1">
        <v>45198</v>
      </c>
      <c r="B13">
        <v>-5.4634000000000002E-2</v>
      </c>
      <c r="C13">
        <v>-3.8834E-2</v>
      </c>
      <c r="D13">
        <v>-6.6726999999999995E-2</v>
      </c>
      <c r="E13">
        <v>-5.2188999999999999E-2</v>
      </c>
      <c r="F13">
        <v>-7.9472000000000001E-2</v>
      </c>
      <c r="G13">
        <v>-7.9100000000000004E-4</v>
      </c>
      <c r="H13">
        <v>-3.5545E-2</v>
      </c>
      <c r="I13">
        <v>-3.6488E-2</v>
      </c>
      <c r="J13">
        <v>-3.1146E-2</v>
      </c>
      <c r="L13">
        <v>-4.7195000000000001E-2</v>
      </c>
      <c r="M13">
        <f t="shared" si="0"/>
        <v>-4.4977999999999962E-3</v>
      </c>
    </row>
    <row r="14" spans="1:13" x14ac:dyDescent="0.35">
      <c r="A14" s="1">
        <v>45230</v>
      </c>
      <c r="B14">
        <v>-1.4586999999999999E-2</v>
      </c>
      <c r="C14">
        <v>-3.5568000000000002E-2</v>
      </c>
      <c r="D14">
        <v>-7.6555999999999999E-2</v>
      </c>
      <c r="E14">
        <v>-6.0124999999999998E-2</v>
      </c>
      <c r="F14">
        <v>-5.4580999999999998E-2</v>
      </c>
      <c r="G14">
        <v>3.3340000000000002E-3</v>
      </c>
      <c r="H14">
        <v>-2.4084000000000001E-2</v>
      </c>
      <c r="I14">
        <v>-2.9019E-2</v>
      </c>
      <c r="J14">
        <v>-3.2938000000000002E-2</v>
      </c>
      <c r="L14">
        <v>-6.0749999999999997E-3</v>
      </c>
      <c r="M14">
        <f t="shared" si="0"/>
        <v>2.96312E-2</v>
      </c>
    </row>
    <row r="15" spans="1:13" x14ac:dyDescent="0.35">
      <c r="A15" s="1">
        <v>45260</v>
      </c>
      <c r="B15">
        <v>0.10968700000000001</v>
      </c>
      <c r="C15">
        <v>7.5604000000000005E-2</v>
      </c>
      <c r="D15">
        <v>9.1066999999999995E-2</v>
      </c>
      <c r="E15">
        <v>9.0815999999999994E-2</v>
      </c>
      <c r="F15">
        <v>9.9163000000000001E-2</v>
      </c>
      <c r="G15">
        <v>1.0518E-2</v>
      </c>
      <c r="H15">
        <v>7.5692999999999996E-2</v>
      </c>
      <c r="I15">
        <v>8.2187999999999997E-2</v>
      </c>
      <c r="J15">
        <v>7.7928999999999998E-2</v>
      </c>
      <c r="L15">
        <v>0.112835</v>
      </c>
      <c r="M15">
        <f t="shared" si="0"/>
        <v>3.3775600000000003E-2</v>
      </c>
    </row>
    <row r="16" spans="1:13" x14ac:dyDescent="0.35">
      <c r="A16" s="1">
        <v>45289</v>
      </c>
      <c r="B16">
        <v>4.4423999999999998E-2</v>
      </c>
      <c r="C16">
        <v>5.5508000000000002E-2</v>
      </c>
      <c r="D16">
        <v>0.119461</v>
      </c>
      <c r="E16">
        <v>0.124305</v>
      </c>
      <c r="F16">
        <v>8.6699999999999999E-2</v>
      </c>
      <c r="G16">
        <v>1.1016E-2</v>
      </c>
      <c r="H16">
        <v>4.8660000000000002E-2</v>
      </c>
      <c r="I16">
        <v>5.3638999999999999E-2</v>
      </c>
      <c r="J16">
        <v>3.6006999999999997E-2</v>
      </c>
      <c r="L16">
        <v>4.0980000000000003E-2</v>
      </c>
      <c r="M16">
        <f t="shared" si="0"/>
        <v>-2.0592700000000005E-2</v>
      </c>
    </row>
    <row r="17" spans="1:13" x14ac:dyDescent="0.35">
      <c r="A17" s="1">
        <v>45322</v>
      </c>
      <c r="B17">
        <v>2.4375999999999998E-2</v>
      </c>
      <c r="C17">
        <v>6.0499999999999996E-4</v>
      </c>
      <c r="D17">
        <v>-3.1123999999999999E-2</v>
      </c>
      <c r="E17">
        <v>-4.6288999999999997E-2</v>
      </c>
      <c r="F17">
        <v>-2.2450999999999999E-2</v>
      </c>
      <c r="G17">
        <v>3.1689999999999999E-3</v>
      </c>
      <c r="H17">
        <v>-4.4279999999999996E-3</v>
      </c>
      <c r="I17">
        <v>-4.5120000000000004E-3</v>
      </c>
      <c r="J17">
        <v>-4.5261999999999997E-2</v>
      </c>
      <c r="L17">
        <v>4.1396000000000002E-2</v>
      </c>
      <c r="M17">
        <f t="shared" si="0"/>
        <v>5.8513800000000005E-2</v>
      </c>
    </row>
    <row r="18" spans="1:13" x14ac:dyDescent="0.35">
      <c r="A18" s="1">
        <v>45351</v>
      </c>
      <c r="B18">
        <v>6.6267000000000006E-2</v>
      </c>
      <c r="C18">
        <v>3.5742000000000003E-2</v>
      </c>
      <c r="D18">
        <v>8.0287999999999998E-2</v>
      </c>
      <c r="E18">
        <v>3.2807000000000003E-2</v>
      </c>
      <c r="F18">
        <v>-2.2581E-2</v>
      </c>
      <c r="G18">
        <v>-3.8779999999999999E-3</v>
      </c>
      <c r="H18">
        <v>-1.9349999999999999E-2</v>
      </c>
      <c r="I18">
        <v>2.9863000000000001E-2</v>
      </c>
      <c r="J18">
        <v>4.1678E-2</v>
      </c>
      <c r="L18">
        <v>7.6772999999999994E-2</v>
      </c>
      <c r="M18">
        <f t="shared" si="0"/>
        <v>4.8521599999999991E-2</v>
      </c>
    </row>
    <row r="19" spans="1:13" x14ac:dyDescent="0.35">
      <c r="A19" s="1">
        <v>45379</v>
      </c>
      <c r="B19">
        <v>1.9182000000000001E-2</v>
      </c>
      <c r="C19">
        <v>5.0384999999999999E-2</v>
      </c>
      <c r="D19">
        <v>2.7102999999999999E-2</v>
      </c>
      <c r="E19">
        <v>4.1727E-2</v>
      </c>
      <c r="F19">
        <v>7.8120000000000004E-3</v>
      </c>
      <c r="G19">
        <v>3.4350000000000001E-3</v>
      </c>
      <c r="H19">
        <v>1.5389999999999999E-2</v>
      </c>
      <c r="I19">
        <v>3.3785999999999997E-2</v>
      </c>
      <c r="J19">
        <v>2.7257E-2</v>
      </c>
      <c r="L19">
        <v>2.4249E-2</v>
      </c>
      <c r="M19">
        <f t="shared" si="0"/>
        <v>-1.0843999999999993E-3</v>
      </c>
    </row>
    <row r="20" spans="1:13" x14ac:dyDescent="0.35">
      <c r="A20" s="1">
        <v>45412</v>
      </c>
      <c r="B20">
        <v>-4.2160000000000003E-2</v>
      </c>
      <c r="C20">
        <v>-4.2487999999999998E-2</v>
      </c>
      <c r="D20">
        <v>-7.5628000000000001E-2</v>
      </c>
      <c r="E20">
        <v>-6.1519999999999998E-2</v>
      </c>
      <c r="F20">
        <v>-6.4491999999999994E-2</v>
      </c>
      <c r="G20">
        <v>-4.4039999999999999E-3</v>
      </c>
      <c r="H20">
        <v>-3.2398000000000003E-2</v>
      </c>
      <c r="I20">
        <v>-3.2432000000000002E-2</v>
      </c>
      <c r="J20">
        <v>-2.1909999999999998E-3</v>
      </c>
      <c r="L20">
        <v>-4.6289999999999998E-2</v>
      </c>
      <c r="M20">
        <f t="shared" si="0"/>
        <v>-1.0299599999999999E-2</v>
      </c>
    </row>
    <row r="21" spans="1:13" x14ac:dyDescent="0.35">
      <c r="A21" s="1">
        <v>45443</v>
      </c>
      <c r="B21">
        <v>6.0247000000000002E-2</v>
      </c>
      <c r="C21">
        <v>3.3002999999999998E-2</v>
      </c>
      <c r="D21">
        <v>5.3131999999999999E-2</v>
      </c>
      <c r="E21">
        <v>4.5893999999999997E-2</v>
      </c>
      <c r="F21">
        <v>2.8840999999999999E-2</v>
      </c>
      <c r="G21">
        <v>7.1840000000000003E-3</v>
      </c>
      <c r="H21">
        <v>2.2120000000000001E-2</v>
      </c>
      <c r="I21">
        <v>5.0602000000000001E-2</v>
      </c>
      <c r="J21">
        <v>1.9517E-2</v>
      </c>
      <c r="L21">
        <v>3.6310000000000002E-2</v>
      </c>
      <c r="M21">
        <f t="shared" si="0"/>
        <v>2.3043000000000022E-3</v>
      </c>
    </row>
    <row r="22" spans="1:13" x14ac:dyDescent="0.35">
      <c r="A22" s="1">
        <v>45471</v>
      </c>
      <c r="B22">
        <v>6.6147999999999998E-2</v>
      </c>
      <c r="C22">
        <v>-1.1232000000000001E-2</v>
      </c>
      <c r="D22">
        <v>-2.7139999999999998E-3</v>
      </c>
      <c r="E22">
        <v>-1.8612E-2</v>
      </c>
      <c r="F22">
        <v>1.8119E-2</v>
      </c>
      <c r="G22">
        <v>5.4409999999999997E-3</v>
      </c>
      <c r="H22">
        <v>5.9329999999999999E-3</v>
      </c>
      <c r="I22">
        <v>-1.8075999999999998E-2</v>
      </c>
      <c r="J22">
        <v>2.6200000000000001E-2</v>
      </c>
      <c r="L22">
        <v>6.1494E-2</v>
      </c>
      <c r="M22">
        <f t="shared" si="0"/>
        <v>5.1753300000000002E-2</v>
      </c>
    </row>
    <row r="23" spans="1:13" x14ac:dyDescent="0.35">
      <c r="A23" s="1">
        <v>45504</v>
      </c>
      <c r="B23">
        <v>-1.7337999999999999E-2</v>
      </c>
      <c r="C23">
        <v>5.1125999999999998E-2</v>
      </c>
      <c r="D23">
        <v>8.1628999999999993E-2</v>
      </c>
      <c r="E23">
        <v>0.124163</v>
      </c>
      <c r="F23">
        <v>3.6358000000000001E-2</v>
      </c>
      <c r="G23">
        <v>1.1804E-2</v>
      </c>
      <c r="H23">
        <v>2.64E-2</v>
      </c>
      <c r="I23">
        <v>2.5916000000000002E-2</v>
      </c>
      <c r="J23">
        <v>8.4530000000000004E-3</v>
      </c>
      <c r="L23">
        <v>-1.1788E-2</v>
      </c>
      <c r="M23">
        <f t="shared" si="0"/>
        <v>-4.7484400000000003E-2</v>
      </c>
    </row>
    <row r="24" spans="1:13" x14ac:dyDescent="0.35">
      <c r="A24" s="1">
        <v>45534</v>
      </c>
      <c r="B24">
        <v>2.0296000000000002E-2</v>
      </c>
      <c r="C24">
        <v>2.6883000000000001E-2</v>
      </c>
      <c r="D24">
        <v>-1.1093E-2</v>
      </c>
      <c r="E24">
        <v>-2.0326E-2</v>
      </c>
      <c r="F24">
        <v>2.1082E-2</v>
      </c>
      <c r="G24">
        <v>8.9189999999999998E-3</v>
      </c>
      <c r="H24">
        <v>1.8696999999999998E-2</v>
      </c>
      <c r="I24">
        <v>3.2603E-2</v>
      </c>
      <c r="J24">
        <v>9.7789999999999995E-3</v>
      </c>
      <c r="L24">
        <v>2.3860000000000001E-3</v>
      </c>
      <c r="M24">
        <f t="shared" si="0"/>
        <v>-9.2759000000000001E-3</v>
      </c>
    </row>
    <row r="25" spans="1:13" x14ac:dyDescent="0.35">
      <c r="A25" s="1">
        <v>45565</v>
      </c>
      <c r="B25">
        <v>2.8670999999999999E-2</v>
      </c>
      <c r="C25">
        <v>1.3363999999999999E-2</v>
      </c>
      <c r="D25">
        <v>1.3311E-2</v>
      </c>
      <c r="E25">
        <v>-2.0699999999999999E-4</v>
      </c>
      <c r="F25">
        <v>1.9938999999999998E-2</v>
      </c>
      <c r="G25">
        <v>7.7320000000000002E-3</v>
      </c>
      <c r="H25">
        <v>1.9619999999999999E-2</v>
      </c>
      <c r="I25">
        <v>7.8329999999999997E-3</v>
      </c>
      <c r="J25">
        <v>5.7412999999999999E-2</v>
      </c>
      <c r="L25">
        <v>2.3120999999999999E-2</v>
      </c>
      <c r="M25">
        <f t="shared" si="0"/>
        <v>6.1209999999999737E-4</v>
      </c>
    </row>
    <row r="26" spans="1:13" x14ac:dyDescent="0.35">
      <c r="A26" s="1">
        <v>45596</v>
      </c>
      <c r="B26">
        <v>-3.7829999999999999E-3</v>
      </c>
      <c r="C26">
        <v>-1.1169999999999999E-2</v>
      </c>
      <c r="D26">
        <v>-1.2534999999999999E-2</v>
      </c>
      <c r="E26">
        <v>-1.4746E-2</v>
      </c>
      <c r="F26">
        <v>-5.4573000000000003E-2</v>
      </c>
      <c r="G26">
        <v>-6.2399999999999999E-3</v>
      </c>
      <c r="H26">
        <v>-3.1808999999999997E-2</v>
      </c>
      <c r="I26">
        <v>-5.2732000000000001E-2</v>
      </c>
      <c r="J26">
        <v>-3.0745999999999999E-2</v>
      </c>
      <c r="L26">
        <v>-2.6589999999999999E-3</v>
      </c>
      <c r="M26">
        <f t="shared" si="0"/>
        <v>2.2248999999999998E-2</v>
      </c>
    </row>
    <row r="27" spans="1:13" x14ac:dyDescent="0.35">
      <c r="A27" s="1">
        <v>45625</v>
      </c>
      <c r="B27">
        <v>6.5300999999999998E-2</v>
      </c>
      <c r="C27">
        <v>6.4524999999999999E-2</v>
      </c>
      <c r="D27">
        <v>0.124519</v>
      </c>
      <c r="E27">
        <v>9.7165000000000001E-2</v>
      </c>
      <c r="F27">
        <v>1.9916E-2</v>
      </c>
      <c r="G27">
        <v>2.9640000000000001E-3</v>
      </c>
      <c r="H27">
        <v>1.7930999999999999E-2</v>
      </c>
      <c r="I27">
        <v>-3.156E-3</v>
      </c>
      <c r="J27">
        <v>-2.6772000000000001E-2</v>
      </c>
      <c r="L27">
        <v>6.0979999999999999E-2</v>
      </c>
      <c r="M27">
        <f t="shared" si="0"/>
        <v>2.7417899999999995E-2</v>
      </c>
    </row>
    <row r="28" spans="1:13" x14ac:dyDescent="0.35">
      <c r="A28" s="1">
        <v>45657</v>
      </c>
      <c r="B28">
        <v>9.0609999999999996E-3</v>
      </c>
      <c r="C28">
        <v>-6.8569000000000005E-2</v>
      </c>
      <c r="D28">
        <v>-8.4154999999999994E-2</v>
      </c>
      <c r="E28">
        <v>-8.5053000000000004E-2</v>
      </c>
      <c r="F28">
        <v>-6.3770999999999994E-2</v>
      </c>
      <c r="G28">
        <v>2.5200000000000001E-3</v>
      </c>
      <c r="H28">
        <v>-2.6713000000000001E-2</v>
      </c>
      <c r="I28">
        <v>-2.9479000000000002E-2</v>
      </c>
      <c r="J28">
        <v>-1.6919E-2</v>
      </c>
      <c r="L28">
        <v>-2.4282999999999999E-2</v>
      </c>
      <c r="M28">
        <f t="shared" si="0"/>
        <v>1.3716700000000005E-2</v>
      </c>
    </row>
    <row r="29" spans="1:13" x14ac:dyDescent="0.35">
      <c r="A29" s="1">
        <v>45688</v>
      </c>
      <c r="B29">
        <v>1.9248999999999999E-2</v>
      </c>
      <c r="C29">
        <v>4.5428000000000003E-2</v>
      </c>
      <c r="D29">
        <v>3.1581999999999999E-2</v>
      </c>
      <c r="E29">
        <v>2.0101000000000001E-2</v>
      </c>
      <c r="F29">
        <v>4.9240000000000004E-3</v>
      </c>
      <c r="G29">
        <v>3.7810000000000001E-3</v>
      </c>
      <c r="H29">
        <v>5.803E-3</v>
      </c>
      <c r="I29">
        <v>4.8009999999999997E-2</v>
      </c>
      <c r="J29">
        <v>2.1520999999999998E-2</v>
      </c>
      <c r="L29">
        <v>1.8411E-2</v>
      </c>
      <c r="M29">
        <f t="shared" si="0"/>
        <v>-3.7810000000000031E-3</v>
      </c>
    </row>
    <row r="30" spans="1:13" x14ac:dyDescent="0.35">
      <c r="A30" s="1">
        <v>45716</v>
      </c>
      <c r="B30">
        <v>-3.5938999999999999E-2</v>
      </c>
      <c r="C30">
        <v>4.2890000000000003E-3</v>
      </c>
      <c r="D30">
        <v>-6.7731E-2</v>
      </c>
      <c r="E30">
        <v>-3.8037000000000001E-2</v>
      </c>
      <c r="F30">
        <v>5.6944000000000002E-2</v>
      </c>
      <c r="G30">
        <v>7.3610000000000004E-3</v>
      </c>
      <c r="H30">
        <v>2.3706999999999999E-2</v>
      </c>
      <c r="I30">
        <v>2.9531000000000002E-2</v>
      </c>
      <c r="J30">
        <v>1.1469999999999999E-2</v>
      </c>
      <c r="L30">
        <v>-4.2182999999999998E-2</v>
      </c>
      <c r="M30">
        <f t="shared" si="0"/>
        <v>-4.2489499999999999E-2</v>
      </c>
    </row>
    <row r="31" spans="1:13" x14ac:dyDescent="0.35">
      <c r="A31" s="1">
        <v>45747</v>
      </c>
      <c r="B31">
        <v>-8.3925E-2</v>
      </c>
      <c r="C31">
        <v>-2.7802E-2</v>
      </c>
      <c r="D31">
        <v>-7.5492000000000004E-2</v>
      </c>
      <c r="E31">
        <v>-5.9768000000000002E-2</v>
      </c>
      <c r="F31">
        <v>-1.2063000000000001E-2</v>
      </c>
      <c r="G31">
        <v>4.4070000000000003E-3</v>
      </c>
      <c r="H31">
        <v>-4.6389999999999999E-3</v>
      </c>
      <c r="I31">
        <v>1.8389999999999999E-3</v>
      </c>
      <c r="J31">
        <v>1.1339999999999999E-2</v>
      </c>
      <c r="L31">
        <v>-7.8992999999999994E-2</v>
      </c>
      <c r="M31">
        <f t="shared" si="0"/>
        <v>-5.5516699999999988E-2</v>
      </c>
    </row>
    <row r="32" spans="1:13" x14ac:dyDescent="0.35">
      <c r="A32" s="1">
        <v>45777</v>
      </c>
      <c r="B32">
        <v>1.5786000000000001E-2</v>
      </c>
      <c r="C32">
        <v>-3.1302999999999997E-2</v>
      </c>
      <c r="D32">
        <v>-7.7489999999999998E-3</v>
      </c>
      <c r="E32">
        <v>-4.0932999999999997E-2</v>
      </c>
      <c r="F32">
        <v>-1.3639999999999999E-2</v>
      </c>
      <c r="G32">
        <v>8.1220000000000007E-3</v>
      </c>
      <c r="H32">
        <v>-2.722E-3</v>
      </c>
      <c r="I32">
        <v>3.6950999999999998E-2</v>
      </c>
      <c r="J32">
        <v>1.3730000000000001E-3</v>
      </c>
      <c r="L32">
        <v>4.934E-3</v>
      </c>
      <c r="M32">
        <f t="shared" si="0"/>
        <v>8.2082000000000006E-3</v>
      </c>
    </row>
    <row r="33" spans="1:13" x14ac:dyDescent="0.35">
      <c r="A33" s="1">
        <v>45807</v>
      </c>
      <c r="B33">
        <v>8.8987999999999998E-2</v>
      </c>
      <c r="C33">
        <v>3.4838000000000001E-2</v>
      </c>
      <c r="D33">
        <v>6.3380000000000006E-2</v>
      </c>
      <c r="E33">
        <v>4.1644E-2</v>
      </c>
      <c r="F33">
        <v>-3.2092000000000002E-2</v>
      </c>
      <c r="G33">
        <v>-2.5379999999999999E-3</v>
      </c>
      <c r="H33">
        <v>2.078E-3</v>
      </c>
      <c r="I33">
        <v>4.7905999999999997E-2</v>
      </c>
      <c r="J33">
        <v>4.0218999999999998E-2</v>
      </c>
      <c r="L33">
        <v>9.2899999999999996E-2</v>
      </c>
      <c r="M33">
        <f t="shared" si="0"/>
        <v>6.0435799999999998E-2</v>
      </c>
    </row>
    <row r="34" spans="1:13" x14ac:dyDescent="0.35">
      <c r="A34" s="1">
        <v>45838</v>
      </c>
      <c r="B34">
        <v>6.3987000000000002E-2</v>
      </c>
      <c r="C34">
        <v>3.4269000000000001E-2</v>
      </c>
      <c r="D34">
        <v>6.1455000000000003E-2</v>
      </c>
      <c r="E34">
        <v>5.0631000000000002E-2</v>
      </c>
      <c r="F34">
        <v>2.6669999999999999E-2</v>
      </c>
      <c r="G34">
        <v>5.8510000000000003E-3</v>
      </c>
      <c r="H34">
        <v>2.0837999999999999E-2</v>
      </c>
      <c r="I34">
        <v>2.3902E-2</v>
      </c>
      <c r="J34">
        <v>6.9887000000000005E-2</v>
      </c>
      <c r="L34">
        <v>7.2564000000000003E-2</v>
      </c>
      <c r="M34">
        <f t="shared" si="0"/>
        <v>2.98263E-2</v>
      </c>
    </row>
    <row r="35" spans="1:13" x14ac:dyDescent="0.35">
      <c r="A35" s="1">
        <v>45869</v>
      </c>
      <c r="B35">
        <v>3.7283999999999998E-2</v>
      </c>
      <c r="C35">
        <v>6.1269999999999996E-3</v>
      </c>
      <c r="D35">
        <v>1.5007E-2</v>
      </c>
      <c r="E35">
        <v>1.6670999999999998E-2</v>
      </c>
      <c r="F35">
        <v>-1.1402000000000001E-2</v>
      </c>
      <c r="G35">
        <v>-9.1600000000000004E-4</v>
      </c>
      <c r="H35">
        <v>-9.0200000000000002E-4</v>
      </c>
      <c r="I35">
        <v>-2.0920000000000001E-2</v>
      </c>
      <c r="J35">
        <v>6.633E-3</v>
      </c>
      <c r="L35">
        <v>3.5116000000000001E-2</v>
      </c>
      <c r="M35">
        <f t="shared" si="0"/>
        <v>2.9694500000000002E-2</v>
      </c>
    </row>
    <row r="36" spans="1:13" x14ac:dyDescent="0.35">
      <c r="A36" s="1">
        <v>45898</v>
      </c>
      <c r="B36">
        <v>1.1762E-2</v>
      </c>
      <c r="C36">
        <v>3.1778000000000001E-2</v>
      </c>
      <c r="D36">
        <v>6.0485999999999998E-2</v>
      </c>
      <c r="E36">
        <v>8.5292000000000007E-2</v>
      </c>
      <c r="F36" s="12">
        <v>7.1000000000000005E-5</v>
      </c>
      <c r="G36">
        <v>8.8570000000000003E-3</v>
      </c>
      <c r="H36">
        <v>1.0401000000000001E-2</v>
      </c>
      <c r="I36">
        <v>4.5247000000000002E-2</v>
      </c>
      <c r="J36">
        <v>2.6771E-2</v>
      </c>
      <c r="L36">
        <v>5.6020000000000002E-3</v>
      </c>
      <c r="M36">
        <f t="shared" si="0"/>
        <v>-2.51416E-2</v>
      </c>
    </row>
    <row r="37" spans="1:13" x14ac:dyDescent="0.35">
      <c r="A37" s="1">
        <v>45930</v>
      </c>
      <c r="B37">
        <v>5.2191000000000001E-2</v>
      </c>
      <c r="C37">
        <v>1.4239999999999999E-2</v>
      </c>
      <c r="D37">
        <v>4.1320000000000003E-2</v>
      </c>
      <c r="E37">
        <v>2.0486000000000001E-2</v>
      </c>
      <c r="F37">
        <v>3.594E-2</v>
      </c>
      <c r="G37">
        <v>2.8830000000000001E-3</v>
      </c>
      <c r="H37">
        <v>1.8787999999999999E-2</v>
      </c>
      <c r="I37">
        <v>2.0660000000000001E-2</v>
      </c>
      <c r="J37">
        <v>7.0999000000000007E-2</v>
      </c>
      <c r="L37">
        <v>3.3117000000000001E-2</v>
      </c>
      <c r="M37">
        <f t="shared" si="0"/>
        <v>-1.7335999999999949E-3</v>
      </c>
    </row>
    <row r="38" spans="1:13" x14ac:dyDescent="0.35">
      <c r="A38" s="1">
        <v>45961</v>
      </c>
      <c r="B38">
        <v>3.6656000000000001E-2</v>
      </c>
      <c r="C38">
        <v>4.8139999999999997E-3</v>
      </c>
      <c r="D38">
        <v>3.3277000000000001E-2</v>
      </c>
      <c r="E38">
        <v>1.81E-3</v>
      </c>
      <c r="F38">
        <v>1.3807E-2</v>
      </c>
      <c r="G38">
        <v>3.3370000000000001E-3</v>
      </c>
      <c r="H38">
        <v>1.48E-3</v>
      </c>
      <c r="I38">
        <v>1.1995E-2</v>
      </c>
      <c r="J38">
        <v>3.5581000000000002E-2</v>
      </c>
      <c r="L38">
        <v>2.5165E-2</v>
      </c>
      <c r="M38">
        <f t="shared" si="0"/>
        <v>7.3311999999999995E-3</v>
      </c>
    </row>
    <row r="39" spans="1:13" x14ac:dyDescent="0.35">
      <c r="A39" s="1">
        <v>45989</v>
      </c>
      <c r="B39">
        <v>-1.8801999999999999E-2</v>
      </c>
      <c r="C39">
        <v>2.6446000000000001E-2</v>
      </c>
      <c r="D39">
        <v>-7.7720000000000003E-3</v>
      </c>
      <c r="E39">
        <v>2.8792000000000002E-2</v>
      </c>
      <c r="F39">
        <v>2.7339999999999999E-3</v>
      </c>
      <c r="G39">
        <v>4.385E-3</v>
      </c>
      <c r="H39">
        <v>9.3259999999999992E-3</v>
      </c>
      <c r="I39">
        <v>7.4079999999999997E-3</v>
      </c>
      <c r="J39">
        <v>-1.7722000000000002E-2</v>
      </c>
      <c r="L39">
        <v>-2.4546999999999999E-2</v>
      </c>
      <c r="M39">
        <f t="shared" si="0"/>
        <v>-2.6254300000000001E-2</v>
      </c>
    </row>
    <row r="40" spans="1:13" x14ac:dyDescent="0.35">
      <c r="A40" s="1">
        <v>46022</v>
      </c>
      <c r="B40">
        <v>-5.6090000000000003E-3</v>
      </c>
      <c r="C40">
        <v>6.5909999999999996E-3</v>
      </c>
      <c r="D40">
        <v>-1.3384E-2</v>
      </c>
      <c r="E40">
        <v>1.4899999999999999E-4</v>
      </c>
      <c r="F40">
        <v>-2.6526999999999998E-2</v>
      </c>
      <c r="G40">
        <v>2.947E-3</v>
      </c>
      <c r="H40">
        <v>-7.3359999999999996E-3</v>
      </c>
      <c r="I40">
        <v>2.7189000000000001E-2</v>
      </c>
      <c r="J40">
        <v>2.1690000000000001E-2</v>
      </c>
      <c r="L40">
        <v>-1.8742999999999999E-2</v>
      </c>
      <c r="M40">
        <f t="shared" si="0"/>
        <v>-2.1482999999999999E-2</v>
      </c>
    </row>
    <row r="41" spans="1:13" x14ac:dyDescent="0.35">
      <c r="A41" t="s">
        <v>30</v>
      </c>
      <c r="B41" t="s">
        <v>5</v>
      </c>
      <c r="C41" s="2" t="s">
        <v>3</v>
      </c>
      <c r="D41" t="s">
        <v>9</v>
      </c>
      <c r="E41" t="s">
        <v>7</v>
      </c>
      <c r="F41" t="s">
        <v>14</v>
      </c>
      <c r="G41" t="s">
        <v>15</v>
      </c>
      <c r="H41" t="s">
        <v>16</v>
      </c>
      <c r="I41" t="s">
        <v>11</v>
      </c>
      <c r="J41" t="s">
        <v>12</v>
      </c>
      <c r="K41" s="5"/>
      <c r="L41" s="9" t="s">
        <v>0</v>
      </c>
      <c r="M41" t="s">
        <v>19</v>
      </c>
    </row>
    <row r="42" spans="1:13" x14ac:dyDescent="0.35">
      <c r="K42" t="s">
        <v>31</v>
      </c>
      <c r="L42">
        <f>_xlfn.VAR.S(L5:L40)</f>
        <v>1.9263970118857142E-3</v>
      </c>
      <c r="M42">
        <f>_xlfn.VAR.S(M5:M40)</f>
        <v>9.1177493134008715E-4</v>
      </c>
    </row>
    <row r="43" spans="1:13" x14ac:dyDescent="0.35">
      <c r="A43" s="9"/>
      <c r="B43" s="6"/>
      <c r="C43" s="6"/>
      <c r="D43" s="6"/>
      <c r="E43" s="6"/>
      <c r="F43" s="6"/>
      <c r="G43" s="6"/>
      <c r="H43" s="6"/>
      <c r="I43" s="6"/>
      <c r="J43" s="6"/>
    </row>
    <row r="44" spans="1:13" x14ac:dyDescent="0.35">
      <c r="A44" s="7"/>
      <c r="B44" s="6"/>
      <c r="C44" s="6"/>
      <c r="D44" s="6"/>
      <c r="E44" s="6"/>
      <c r="F44" s="6"/>
      <c r="G44" s="6"/>
      <c r="H44" s="6"/>
      <c r="I44" s="6"/>
      <c r="J44" s="6"/>
    </row>
    <row r="47" spans="1:13" x14ac:dyDescent="0.35">
      <c r="A47" s="9"/>
      <c r="B47" s="3"/>
    </row>
    <row r="48" spans="1:13" x14ac:dyDescent="0.35">
      <c r="A48" s="7"/>
      <c r="B4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2994-CBAE-4ED4-A9E5-58384AA8316C}">
  <dimension ref="A1:M48"/>
  <sheetViews>
    <sheetView workbookViewId="0"/>
  </sheetViews>
  <sheetFormatPr defaultRowHeight="14.5" x14ac:dyDescent="0.35"/>
  <cols>
    <col min="1" max="1" width="14.7265625" customWidth="1"/>
    <col min="2" max="10" width="12.54296875" customWidth="1"/>
    <col min="11" max="11" width="10.6328125" customWidth="1"/>
  </cols>
  <sheetData>
    <row r="1" spans="1:13" x14ac:dyDescent="0.35">
      <c r="A1" s="4"/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s="11" t="s">
        <v>29</v>
      </c>
    </row>
    <row r="2" spans="1:13" x14ac:dyDescent="0.35">
      <c r="A2" s="10" t="s">
        <v>32</v>
      </c>
      <c r="B2" s="6">
        <v>0.1</v>
      </c>
      <c r="C2" s="6">
        <v>0.1</v>
      </c>
      <c r="D2" s="6">
        <v>0.1</v>
      </c>
      <c r="E2" s="6">
        <v>0.1</v>
      </c>
      <c r="F2" s="6">
        <v>0.1</v>
      </c>
      <c r="G2" s="6">
        <v>0.1</v>
      </c>
      <c r="H2" s="6">
        <v>0.1</v>
      </c>
      <c r="I2" s="6">
        <v>0.1</v>
      </c>
      <c r="J2" s="6">
        <v>0.2</v>
      </c>
      <c r="K2" s="6">
        <f>SUM(B2:J2)</f>
        <v>1</v>
      </c>
    </row>
    <row r="3" spans="1:13" x14ac:dyDescent="0.35">
      <c r="A3" s="4"/>
    </row>
    <row r="4" spans="1:13" x14ac:dyDescent="0.35">
      <c r="A4" s="4" t="s">
        <v>2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L4" s="9" t="s">
        <v>1</v>
      </c>
      <c r="M4" s="7" t="s">
        <v>19</v>
      </c>
    </row>
    <row r="5" spans="1:13" x14ac:dyDescent="0.35">
      <c r="A5" s="1">
        <v>44957</v>
      </c>
      <c r="B5">
        <v>8.3270999999999998E-2</v>
      </c>
      <c r="C5">
        <v>5.1434000000000001E-2</v>
      </c>
      <c r="D5">
        <v>9.9944000000000005E-2</v>
      </c>
      <c r="E5">
        <v>9.6631999999999996E-2</v>
      </c>
      <c r="F5">
        <v>7.6436000000000004E-2</v>
      </c>
      <c r="G5">
        <v>7.7609999999999997E-3</v>
      </c>
      <c r="H5">
        <v>5.1597999999999998E-2</v>
      </c>
      <c r="I5">
        <v>9.0037000000000006E-2</v>
      </c>
      <c r="J5">
        <v>9.1292999999999999E-2</v>
      </c>
      <c r="L5">
        <v>4.6544000000000002E-2</v>
      </c>
      <c r="M5">
        <f>L5-(B5*$B$2+C5*$C$2+D5*$D$2+E5*$E$2+F5*$F$2+G5*$G$2+H5*$H$2+I5*$I$2+J5*$J$2)</f>
        <v>-2.7425900000000003E-2</v>
      </c>
    </row>
    <row r="6" spans="1:13" x14ac:dyDescent="0.35">
      <c r="A6" s="1">
        <v>44985</v>
      </c>
      <c r="B6">
        <v>-1.1892E-2</v>
      </c>
      <c r="C6">
        <v>-3.5246E-2</v>
      </c>
      <c r="D6">
        <v>-1.2290000000000001E-2</v>
      </c>
      <c r="E6">
        <v>-2.2818000000000001E-2</v>
      </c>
      <c r="F6">
        <v>-4.8529999999999997E-2</v>
      </c>
      <c r="G6">
        <v>-8.0569999999999999E-3</v>
      </c>
      <c r="H6">
        <v>-4.172E-2</v>
      </c>
      <c r="I6">
        <v>-3.0748000000000001E-2</v>
      </c>
      <c r="J6">
        <v>-7.5676999999999994E-2</v>
      </c>
      <c r="L6">
        <v>-2.0889000000000001E-2</v>
      </c>
      <c r="M6">
        <f t="shared" ref="M6:M40" si="0">L6-(B6*$B$2+C6*$C$2+D6*$D$2+E6*$E$2+F6*$F$2+G6*$G$2+H6*$H$2+I6*$I$2+J6*$J$2)</f>
        <v>1.5376499999999998E-2</v>
      </c>
    </row>
    <row r="7" spans="1:13" x14ac:dyDescent="0.35">
      <c r="A7" s="1">
        <v>45016</v>
      </c>
      <c r="B7">
        <v>6.7793999999999993E-2</v>
      </c>
      <c r="C7">
        <v>-5.0039999999999998E-3</v>
      </c>
      <c r="D7">
        <v>-2.4712000000000001E-2</v>
      </c>
      <c r="E7">
        <v>-7.3023000000000005E-2</v>
      </c>
      <c r="F7">
        <v>4.8418999999999997E-2</v>
      </c>
      <c r="G7">
        <v>1.6487000000000002E-2</v>
      </c>
      <c r="H7">
        <v>3.8505999999999999E-2</v>
      </c>
      <c r="I7">
        <v>3.1290999999999999E-2</v>
      </c>
      <c r="J7">
        <v>3.2174000000000001E-2</v>
      </c>
      <c r="L7">
        <v>4.1293999999999997E-2</v>
      </c>
      <c r="M7">
        <f t="shared" si="0"/>
        <v>2.4883399999999996E-2</v>
      </c>
    </row>
    <row r="8" spans="1:13" x14ac:dyDescent="0.35">
      <c r="A8" s="1">
        <v>45044</v>
      </c>
      <c r="B8">
        <v>1.0232E-2</v>
      </c>
      <c r="C8">
        <v>1.5565000000000001E-2</v>
      </c>
      <c r="D8">
        <v>-1.1551000000000001E-2</v>
      </c>
      <c r="E8">
        <v>-2.5252E-2</v>
      </c>
      <c r="F8">
        <v>3.369E-3</v>
      </c>
      <c r="G8">
        <v>2.4390000000000002E-3</v>
      </c>
      <c r="H8">
        <v>6.0260000000000001E-3</v>
      </c>
      <c r="I8">
        <v>2.9361999999999999E-2</v>
      </c>
      <c r="J8">
        <v>-8.3630000000000006E-3</v>
      </c>
      <c r="L8">
        <v>1.3219E-2</v>
      </c>
      <c r="M8">
        <f t="shared" si="0"/>
        <v>1.1872600000000001E-2</v>
      </c>
    </row>
    <row r="9" spans="1:13" x14ac:dyDescent="0.35">
      <c r="A9" s="1">
        <v>45077</v>
      </c>
      <c r="B9">
        <v>4.6873999999999999E-2</v>
      </c>
      <c r="C9">
        <v>-3.8866999999999999E-2</v>
      </c>
      <c r="D9">
        <v>1.6949999999999999E-3</v>
      </c>
      <c r="E9">
        <v>-1.8193999999999998E-2</v>
      </c>
      <c r="F9">
        <v>-3.0079999999999999E-2</v>
      </c>
      <c r="G9">
        <v>-3.7620000000000002E-3</v>
      </c>
      <c r="H9">
        <v>-1.7638999999999998E-2</v>
      </c>
      <c r="I9">
        <v>-4.0071000000000002E-2</v>
      </c>
      <c r="J9">
        <v>-2.4022000000000002E-2</v>
      </c>
      <c r="L9">
        <v>-1.305E-3</v>
      </c>
      <c r="M9">
        <f t="shared" si="0"/>
        <v>1.35038E-2</v>
      </c>
    </row>
    <row r="10" spans="1:13" x14ac:dyDescent="0.35">
      <c r="A10" s="1">
        <v>45107</v>
      </c>
      <c r="B10">
        <v>6.6534999999999997E-2</v>
      </c>
      <c r="C10">
        <v>6.6303000000000001E-2</v>
      </c>
      <c r="D10">
        <v>8.2078999999999999E-2</v>
      </c>
      <c r="E10">
        <v>7.8479999999999994E-2</v>
      </c>
      <c r="F10">
        <v>2.1610000000000002E-3</v>
      </c>
      <c r="G10">
        <v>-4.9490000000000003E-3</v>
      </c>
      <c r="H10">
        <v>8.0890000000000007E-3</v>
      </c>
      <c r="I10">
        <v>4.4872000000000002E-2</v>
      </c>
      <c r="J10">
        <v>4.4026999999999997E-2</v>
      </c>
      <c r="L10">
        <v>6.2051000000000002E-2</v>
      </c>
      <c r="M10">
        <f t="shared" si="0"/>
        <v>1.8888599999999998E-2</v>
      </c>
    </row>
    <row r="11" spans="1:13" x14ac:dyDescent="0.35">
      <c r="A11" s="1">
        <v>45138</v>
      </c>
      <c r="B11">
        <v>3.4376999999999998E-2</v>
      </c>
      <c r="C11">
        <v>3.5228000000000002E-2</v>
      </c>
      <c r="D11">
        <v>4.6897000000000001E-2</v>
      </c>
      <c r="E11">
        <v>7.4148000000000006E-2</v>
      </c>
      <c r="F11">
        <v>-2.5430000000000001E-2</v>
      </c>
      <c r="G11">
        <v>3.045E-3</v>
      </c>
      <c r="H11">
        <v>5.4900000000000001E-4</v>
      </c>
      <c r="I11">
        <v>2.7033999999999999E-2</v>
      </c>
      <c r="J11">
        <v>6.0415000000000003E-2</v>
      </c>
      <c r="L11">
        <v>2.6445E-2</v>
      </c>
      <c r="M11">
        <f t="shared" si="0"/>
        <v>-5.2228000000000031E-3</v>
      </c>
    </row>
    <row r="12" spans="1:13" x14ac:dyDescent="0.35">
      <c r="A12" s="1">
        <v>45169</v>
      </c>
      <c r="B12">
        <v>-9.5910000000000006E-3</v>
      </c>
      <c r="C12">
        <v>-2.6991000000000001E-2</v>
      </c>
      <c r="D12">
        <v>-5.2630000000000003E-2</v>
      </c>
      <c r="E12">
        <v>-4.7738999999999997E-2</v>
      </c>
      <c r="F12">
        <v>-3.1373999999999999E-2</v>
      </c>
      <c r="G12">
        <v>4.104E-3</v>
      </c>
      <c r="H12">
        <v>-1.2252000000000001E-2</v>
      </c>
      <c r="I12">
        <v>-3.9350000000000003E-2</v>
      </c>
      <c r="J12">
        <v>-6.6268999999999995E-2</v>
      </c>
      <c r="L12">
        <v>-1.6177E-2</v>
      </c>
      <c r="M12">
        <f t="shared" si="0"/>
        <v>1.8659100000000001E-2</v>
      </c>
    </row>
    <row r="13" spans="1:13" x14ac:dyDescent="0.35">
      <c r="A13" s="1">
        <v>45198</v>
      </c>
      <c r="B13">
        <v>-5.4634000000000002E-2</v>
      </c>
      <c r="C13">
        <v>-3.8834E-2</v>
      </c>
      <c r="D13">
        <v>-6.6726999999999995E-2</v>
      </c>
      <c r="E13">
        <v>-5.2188999999999999E-2</v>
      </c>
      <c r="F13">
        <v>-7.9472000000000001E-2</v>
      </c>
      <c r="G13">
        <v>-7.9100000000000004E-4</v>
      </c>
      <c r="H13">
        <v>-3.5545E-2</v>
      </c>
      <c r="I13">
        <v>-3.6488E-2</v>
      </c>
      <c r="J13">
        <v>-3.1146E-2</v>
      </c>
      <c r="L13">
        <v>-4.2021999999999997E-2</v>
      </c>
      <c r="M13">
        <f t="shared" si="0"/>
        <v>6.7520000000000774E-4</v>
      </c>
    </row>
    <row r="14" spans="1:13" x14ac:dyDescent="0.35">
      <c r="A14" s="1">
        <v>45230</v>
      </c>
      <c r="B14">
        <v>-1.4586999999999999E-2</v>
      </c>
      <c r="C14">
        <v>-3.5568000000000002E-2</v>
      </c>
      <c r="D14">
        <v>-7.6555999999999999E-2</v>
      </c>
      <c r="E14">
        <v>-6.0124999999999998E-2</v>
      </c>
      <c r="F14">
        <v>-5.4580999999999998E-2</v>
      </c>
      <c r="G14">
        <v>3.3340000000000002E-3</v>
      </c>
      <c r="H14">
        <v>-2.4084000000000001E-2</v>
      </c>
      <c r="I14">
        <v>-2.9019E-2</v>
      </c>
      <c r="J14">
        <v>-3.2938000000000002E-2</v>
      </c>
      <c r="L14">
        <v>-6.3599999999999996E-4</v>
      </c>
      <c r="M14">
        <f t="shared" si="0"/>
        <v>3.5070200000000003E-2</v>
      </c>
    </row>
    <row r="15" spans="1:13" x14ac:dyDescent="0.35">
      <c r="A15" s="1">
        <v>45260</v>
      </c>
      <c r="B15">
        <v>0.10968700000000001</v>
      </c>
      <c r="C15">
        <v>7.5604000000000005E-2</v>
      </c>
      <c r="D15">
        <v>9.1066999999999995E-2</v>
      </c>
      <c r="E15">
        <v>9.0815999999999994E-2</v>
      </c>
      <c r="F15">
        <v>9.9163000000000001E-2</v>
      </c>
      <c r="G15">
        <v>1.0518E-2</v>
      </c>
      <c r="H15">
        <v>7.5692999999999996E-2</v>
      </c>
      <c r="I15">
        <v>8.2187999999999997E-2</v>
      </c>
      <c r="J15">
        <v>7.7928999999999998E-2</v>
      </c>
      <c r="L15">
        <v>8.2060999999999995E-2</v>
      </c>
      <c r="M15">
        <f t="shared" si="0"/>
        <v>3.0015999999999932E-3</v>
      </c>
    </row>
    <row r="16" spans="1:13" x14ac:dyDescent="0.35">
      <c r="A16" s="1">
        <v>45289</v>
      </c>
      <c r="B16">
        <v>4.4423999999999998E-2</v>
      </c>
      <c r="C16">
        <v>5.5508000000000002E-2</v>
      </c>
      <c r="D16">
        <v>0.119461</v>
      </c>
      <c r="E16">
        <v>0.124305</v>
      </c>
      <c r="F16">
        <v>8.6699999999999999E-2</v>
      </c>
      <c r="G16">
        <v>1.1016E-2</v>
      </c>
      <c r="H16">
        <v>4.8660000000000002E-2</v>
      </c>
      <c r="I16">
        <v>5.3638999999999999E-2</v>
      </c>
      <c r="J16">
        <v>3.6006999999999997E-2</v>
      </c>
      <c r="L16">
        <v>4.6538999999999997E-2</v>
      </c>
      <c r="M16">
        <f t="shared" si="0"/>
        <v>-1.5033700000000011E-2</v>
      </c>
    </row>
    <row r="17" spans="1:13" x14ac:dyDescent="0.35">
      <c r="A17" s="1">
        <v>45322</v>
      </c>
      <c r="B17">
        <v>2.4375999999999998E-2</v>
      </c>
      <c r="C17">
        <v>6.0499999999999996E-4</v>
      </c>
      <c r="D17">
        <v>-3.1123999999999999E-2</v>
      </c>
      <c r="E17">
        <v>-4.6288999999999997E-2</v>
      </c>
      <c r="F17">
        <v>-2.2450999999999999E-2</v>
      </c>
      <c r="G17">
        <v>3.1689999999999999E-3</v>
      </c>
      <c r="H17">
        <v>-4.4279999999999996E-3</v>
      </c>
      <c r="I17">
        <v>-4.5120000000000004E-3</v>
      </c>
      <c r="J17">
        <v>-4.5261999999999997E-2</v>
      </c>
      <c r="L17">
        <v>2.6667E-2</v>
      </c>
      <c r="M17">
        <f t="shared" si="0"/>
        <v>4.3784799999999999E-2</v>
      </c>
    </row>
    <row r="18" spans="1:13" x14ac:dyDescent="0.35">
      <c r="A18" s="1">
        <v>45351</v>
      </c>
      <c r="B18">
        <v>6.6267000000000006E-2</v>
      </c>
      <c r="C18">
        <v>3.5742000000000003E-2</v>
      </c>
      <c r="D18">
        <v>8.0287999999999998E-2</v>
      </c>
      <c r="E18">
        <v>3.2807000000000003E-2</v>
      </c>
      <c r="F18">
        <v>-2.2581E-2</v>
      </c>
      <c r="G18">
        <v>-3.8779999999999999E-3</v>
      </c>
      <c r="H18">
        <v>-1.9349999999999999E-2</v>
      </c>
      <c r="I18">
        <v>2.9863000000000001E-2</v>
      </c>
      <c r="J18">
        <v>4.1678E-2</v>
      </c>
      <c r="L18">
        <v>5.5489999999999998E-2</v>
      </c>
      <c r="M18">
        <f t="shared" si="0"/>
        <v>2.7238599999999995E-2</v>
      </c>
    </row>
    <row r="19" spans="1:13" x14ac:dyDescent="0.35">
      <c r="A19" s="1">
        <v>45379</v>
      </c>
      <c r="B19">
        <v>1.9182000000000001E-2</v>
      </c>
      <c r="C19">
        <v>5.0384999999999999E-2</v>
      </c>
      <c r="D19">
        <v>2.7102999999999999E-2</v>
      </c>
      <c r="E19">
        <v>4.1727E-2</v>
      </c>
      <c r="F19">
        <v>7.8120000000000004E-3</v>
      </c>
      <c r="G19">
        <v>3.4350000000000001E-3</v>
      </c>
      <c r="H19">
        <v>1.5389999999999999E-2</v>
      </c>
      <c r="I19">
        <v>3.3785999999999997E-2</v>
      </c>
      <c r="J19">
        <v>2.7257E-2</v>
      </c>
      <c r="L19">
        <v>2.6845999999999998E-2</v>
      </c>
      <c r="M19">
        <f t="shared" si="0"/>
        <v>1.5125999999999994E-3</v>
      </c>
    </row>
    <row r="20" spans="1:13" x14ac:dyDescent="0.35">
      <c r="A20" s="1">
        <v>45412</v>
      </c>
      <c r="B20">
        <v>-4.2160000000000003E-2</v>
      </c>
      <c r="C20">
        <v>-4.2487999999999998E-2</v>
      </c>
      <c r="D20">
        <v>-7.5628000000000001E-2</v>
      </c>
      <c r="E20">
        <v>-6.1519999999999998E-2</v>
      </c>
      <c r="F20">
        <v>-6.4491999999999994E-2</v>
      </c>
      <c r="G20">
        <v>-4.4039999999999999E-3</v>
      </c>
      <c r="H20">
        <v>-3.2398000000000003E-2</v>
      </c>
      <c r="I20">
        <v>-3.2432000000000002E-2</v>
      </c>
      <c r="J20">
        <v>-2.1909999999999998E-3</v>
      </c>
      <c r="L20">
        <v>-5.3921999999999998E-2</v>
      </c>
      <c r="M20">
        <f t="shared" si="0"/>
        <v>-1.7931599999999999E-2</v>
      </c>
    </row>
    <row r="21" spans="1:13" x14ac:dyDescent="0.35">
      <c r="A21" s="1">
        <v>45443</v>
      </c>
      <c r="B21">
        <v>6.0247000000000002E-2</v>
      </c>
      <c r="C21">
        <v>3.3002999999999998E-2</v>
      </c>
      <c r="D21">
        <v>5.3131999999999999E-2</v>
      </c>
      <c r="E21">
        <v>4.5893999999999997E-2</v>
      </c>
      <c r="F21">
        <v>2.8840999999999999E-2</v>
      </c>
      <c r="G21">
        <v>7.1840000000000003E-3</v>
      </c>
      <c r="H21">
        <v>2.2120000000000001E-2</v>
      </c>
      <c r="I21">
        <v>5.0602000000000001E-2</v>
      </c>
      <c r="J21">
        <v>1.9517E-2</v>
      </c>
      <c r="L21">
        <v>2.0725E-2</v>
      </c>
      <c r="M21">
        <f t="shared" si="0"/>
        <v>-1.3280699999999999E-2</v>
      </c>
    </row>
    <row r="22" spans="1:13" x14ac:dyDescent="0.35">
      <c r="A22" s="1">
        <v>45471</v>
      </c>
      <c r="B22">
        <v>6.6147999999999998E-2</v>
      </c>
      <c r="C22">
        <v>-1.1232000000000001E-2</v>
      </c>
      <c r="D22">
        <v>-2.7139999999999998E-3</v>
      </c>
      <c r="E22">
        <v>-1.8612E-2</v>
      </c>
      <c r="F22">
        <v>1.8119E-2</v>
      </c>
      <c r="G22">
        <v>5.4409999999999997E-3</v>
      </c>
      <c r="H22">
        <v>5.9329999999999999E-3</v>
      </c>
      <c r="I22">
        <v>-1.8075999999999998E-2</v>
      </c>
      <c r="J22">
        <v>2.6200000000000001E-2</v>
      </c>
      <c r="L22">
        <v>2.9892999999999999E-2</v>
      </c>
      <c r="M22">
        <f t="shared" si="0"/>
        <v>2.0152299999999998E-2</v>
      </c>
    </row>
    <row r="23" spans="1:13" x14ac:dyDescent="0.35">
      <c r="A23" s="1">
        <v>45504</v>
      </c>
      <c r="B23">
        <v>-1.7337999999999999E-2</v>
      </c>
      <c r="C23">
        <v>5.1125999999999998E-2</v>
      </c>
      <c r="D23">
        <v>8.1628999999999993E-2</v>
      </c>
      <c r="E23">
        <v>0.124163</v>
      </c>
      <c r="F23">
        <v>3.6358000000000001E-2</v>
      </c>
      <c r="G23">
        <v>1.1804E-2</v>
      </c>
      <c r="H23">
        <v>2.64E-2</v>
      </c>
      <c r="I23">
        <v>2.5916000000000002E-2</v>
      </c>
      <c r="J23">
        <v>8.4530000000000004E-3</v>
      </c>
      <c r="L23">
        <v>8.7620000000000007E-3</v>
      </c>
      <c r="M23">
        <f t="shared" si="0"/>
        <v>-2.6934400000000004E-2</v>
      </c>
    </row>
    <row r="24" spans="1:13" x14ac:dyDescent="0.35">
      <c r="A24" s="1">
        <v>45534</v>
      </c>
      <c r="B24">
        <v>2.0296000000000002E-2</v>
      </c>
      <c r="C24">
        <v>2.6883000000000001E-2</v>
      </c>
      <c r="D24">
        <v>-1.1093E-2</v>
      </c>
      <c r="E24">
        <v>-2.0326E-2</v>
      </c>
      <c r="F24">
        <v>2.1082E-2</v>
      </c>
      <c r="G24">
        <v>8.9189999999999998E-3</v>
      </c>
      <c r="H24">
        <v>1.8696999999999998E-2</v>
      </c>
      <c r="I24">
        <v>3.2603E-2</v>
      </c>
      <c r="J24">
        <v>9.7789999999999995E-3</v>
      </c>
      <c r="L24">
        <v>1.3572000000000001E-2</v>
      </c>
      <c r="M24">
        <f t="shared" si="0"/>
        <v>1.9100999999999996E-3</v>
      </c>
    </row>
    <row r="25" spans="1:13" x14ac:dyDescent="0.35">
      <c r="A25" s="1">
        <v>45565</v>
      </c>
      <c r="B25">
        <v>2.8670999999999999E-2</v>
      </c>
      <c r="C25">
        <v>1.3363999999999999E-2</v>
      </c>
      <c r="D25">
        <v>1.3311E-2</v>
      </c>
      <c r="E25">
        <v>-2.0699999999999999E-4</v>
      </c>
      <c r="F25">
        <v>1.9938999999999998E-2</v>
      </c>
      <c r="G25">
        <v>7.7320000000000002E-3</v>
      </c>
      <c r="H25">
        <v>1.9619999999999999E-2</v>
      </c>
      <c r="I25">
        <v>7.8329999999999997E-3</v>
      </c>
      <c r="J25">
        <v>5.7412999999999999E-2</v>
      </c>
      <c r="L25">
        <v>2.196E-2</v>
      </c>
      <c r="M25">
        <f t="shared" si="0"/>
        <v>-5.4890000000000147E-4</v>
      </c>
    </row>
    <row r="26" spans="1:13" x14ac:dyDescent="0.35">
      <c r="A26" s="1">
        <v>45596</v>
      </c>
      <c r="B26">
        <v>-3.7829999999999999E-3</v>
      </c>
      <c r="C26">
        <v>-1.1169999999999999E-2</v>
      </c>
      <c r="D26">
        <v>-1.2534999999999999E-2</v>
      </c>
      <c r="E26">
        <v>-1.4746E-2</v>
      </c>
      <c r="F26">
        <v>-5.4573000000000003E-2</v>
      </c>
      <c r="G26">
        <v>-6.2399999999999999E-3</v>
      </c>
      <c r="H26">
        <v>-3.1808999999999997E-2</v>
      </c>
      <c r="I26">
        <v>-5.2732000000000001E-2</v>
      </c>
      <c r="J26">
        <v>-3.0745999999999999E-2</v>
      </c>
      <c r="L26">
        <v>-5.241E-3</v>
      </c>
      <c r="M26">
        <f t="shared" si="0"/>
        <v>1.9667E-2</v>
      </c>
    </row>
    <row r="27" spans="1:13" x14ac:dyDescent="0.35">
      <c r="A27" s="1">
        <v>45625</v>
      </c>
      <c r="B27">
        <v>6.5300999999999998E-2</v>
      </c>
      <c r="C27">
        <v>6.4524999999999999E-2</v>
      </c>
      <c r="D27">
        <v>0.124519</v>
      </c>
      <c r="E27">
        <v>9.7165000000000001E-2</v>
      </c>
      <c r="F27">
        <v>1.9916E-2</v>
      </c>
      <c r="G27">
        <v>2.9640000000000001E-3</v>
      </c>
      <c r="H27">
        <v>1.7930999999999999E-2</v>
      </c>
      <c r="I27">
        <v>-3.156E-3</v>
      </c>
      <c r="J27">
        <v>-2.6772000000000001E-2</v>
      </c>
      <c r="L27">
        <v>9.1675000000000006E-2</v>
      </c>
      <c r="M27">
        <f t="shared" si="0"/>
        <v>5.8112900000000002E-2</v>
      </c>
    </row>
    <row r="28" spans="1:13" x14ac:dyDescent="0.35">
      <c r="A28" s="1">
        <v>45657</v>
      </c>
      <c r="B28">
        <v>9.0609999999999996E-3</v>
      </c>
      <c r="C28">
        <v>-6.8569000000000005E-2</v>
      </c>
      <c r="D28">
        <v>-8.4154999999999994E-2</v>
      </c>
      <c r="E28">
        <v>-8.5053000000000004E-2</v>
      </c>
      <c r="F28">
        <v>-6.3770999999999994E-2</v>
      </c>
      <c r="G28">
        <v>2.5200000000000001E-3</v>
      </c>
      <c r="H28">
        <v>-2.6713000000000001E-2</v>
      </c>
      <c r="I28">
        <v>-2.9479000000000002E-2</v>
      </c>
      <c r="J28">
        <v>-1.6919E-2</v>
      </c>
      <c r="L28">
        <v>-3.4984000000000001E-2</v>
      </c>
      <c r="M28">
        <f t="shared" si="0"/>
        <v>3.0157000000000031E-3</v>
      </c>
    </row>
    <row r="29" spans="1:13" x14ac:dyDescent="0.35">
      <c r="A29" s="1">
        <v>45688</v>
      </c>
      <c r="B29">
        <v>1.9248999999999999E-2</v>
      </c>
      <c r="C29">
        <v>4.5428000000000003E-2</v>
      </c>
      <c r="D29">
        <v>3.1581999999999999E-2</v>
      </c>
      <c r="E29">
        <v>2.0101000000000001E-2</v>
      </c>
      <c r="F29">
        <v>4.9240000000000004E-3</v>
      </c>
      <c r="G29">
        <v>3.7810000000000001E-3</v>
      </c>
      <c r="H29">
        <v>5.803E-3</v>
      </c>
      <c r="I29">
        <v>4.8009999999999997E-2</v>
      </c>
      <c r="J29">
        <v>2.1520999999999998E-2</v>
      </c>
      <c r="L29">
        <v>5.1152000000000003E-2</v>
      </c>
      <c r="M29">
        <f t="shared" si="0"/>
        <v>2.896E-2</v>
      </c>
    </row>
    <row r="30" spans="1:13" x14ac:dyDescent="0.35">
      <c r="A30" s="1">
        <v>45716</v>
      </c>
      <c r="B30">
        <v>-3.5938999999999999E-2</v>
      </c>
      <c r="C30">
        <v>4.2890000000000003E-3</v>
      </c>
      <c r="D30">
        <v>-6.7731E-2</v>
      </c>
      <c r="E30">
        <v>-3.8037000000000001E-2</v>
      </c>
      <c r="F30">
        <v>5.6944000000000002E-2</v>
      </c>
      <c r="G30">
        <v>7.3610000000000004E-3</v>
      </c>
      <c r="H30">
        <v>2.3706999999999999E-2</v>
      </c>
      <c r="I30">
        <v>2.9531000000000002E-2</v>
      </c>
      <c r="J30">
        <v>1.1469999999999999E-2</v>
      </c>
      <c r="L30">
        <v>-4.6524000000000003E-2</v>
      </c>
      <c r="M30">
        <f t="shared" si="0"/>
        <v>-4.6830500000000004E-2</v>
      </c>
    </row>
    <row r="31" spans="1:13" x14ac:dyDescent="0.35">
      <c r="A31" s="1">
        <v>45747</v>
      </c>
      <c r="B31">
        <v>-8.3925E-2</v>
      </c>
      <c r="C31">
        <v>-2.7802E-2</v>
      </c>
      <c r="D31">
        <v>-7.5492000000000004E-2</v>
      </c>
      <c r="E31">
        <v>-5.9768000000000002E-2</v>
      </c>
      <c r="F31">
        <v>-1.2063000000000001E-2</v>
      </c>
      <c r="G31">
        <v>4.4070000000000003E-3</v>
      </c>
      <c r="H31">
        <v>-4.6389999999999999E-3</v>
      </c>
      <c r="I31">
        <v>1.8389999999999999E-3</v>
      </c>
      <c r="J31">
        <v>1.1339999999999999E-2</v>
      </c>
      <c r="L31">
        <v>-5.6085000000000003E-2</v>
      </c>
      <c r="M31">
        <f t="shared" si="0"/>
        <v>-3.2608700000000004E-2</v>
      </c>
    </row>
    <row r="32" spans="1:13" x14ac:dyDescent="0.35">
      <c r="A32" s="1">
        <v>45777</v>
      </c>
      <c r="B32">
        <v>1.5786000000000001E-2</v>
      </c>
      <c r="C32">
        <v>-3.1302999999999997E-2</v>
      </c>
      <c r="D32">
        <v>-7.7489999999999998E-3</v>
      </c>
      <c r="E32">
        <v>-4.0932999999999997E-2</v>
      </c>
      <c r="F32">
        <v>-1.3639999999999999E-2</v>
      </c>
      <c r="G32">
        <v>8.1220000000000007E-3</v>
      </c>
      <c r="H32">
        <v>-2.722E-3</v>
      </c>
      <c r="I32">
        <v>3.6950999999999998E-2</v>
      </c>
      <c r="J32">
        <v>1.3730000000000001E-3</v>
      </c>
      <c r="L32">
        <v>1.1884E-2</v>
      </c>
      <c r="M32">
        <f t="shared" si="0"/>
        <v>1.51582E-2</v>
      </c>
    </row>
    <row r="33" spans="1:13" x14ac:dyDescent="0.35">
      <c r="A33" s="1">
        <v>45807</v>
      </c>
      <c r="B33">
        <v>8.8987999999999998E-2</v>
      </c>
      <c r="C33">
        <v>3.4838000000000001E-2</v>
      </c>
      <c r="D33">
        <v>6.3380000000000006E-2</v>
      </c>
      <c r="E33">
        <v>4.1644E-2</v>
      </c>
      <c r="F33">
        <v>-3.2092000000000002E-2</v>
      </c>
      <c r="G33">
        <v>-2.5379999999999999E-3</v>
      </c>
      <c r="H33">
        <v>2.078E-3</v>
      </c>
      <c r="I33">
        <v>4.7905999999999997E-2</v>
      </c>
      <c r="J33">
        <v>4.0218999999999998E-2</v>
      </c>
      <c r="L33">
        <v>5.6958000000000002E-2</v>
      </c>
      <c r="M33">
        <f t="shared" si="0"/>
        <v>2.4493800000000003E-2</v>
      </c>
    </row>
    <row r="34" spans="1:13" x14ac:dyDescent="0.35">
      <c r="A34" s="1">
        <v>45838</v>
      </c>
      <c r="B34">
        <v>6.3987000000000002E-2</v>
      </c>
      <c r="C34">
        <v>3.4269000000000001E-2</v>
      </c>
      <c r="D34">
        <v>6.1455000000000003E-2</v>
      </c>
      <c r="E34">
        <v>5.0631000000000002E-2</v>
      </c>
      <c r="F34">
        <v>2.6669999999999999E-2</v>
      </c>
      <c r="G34">
        <v>5.8510000000000003E-3</v>
      </c>
      <c r="H34">
        <v>2.0837999999999999E-2</v>
      </c>
      <c r="I34">
        <v>2.3902E-2</v>
      </c>
      <c r="J34">
        <v>6.9887000000000005E-2</v>
      </c>
      <c r="L34">
        <v>4.7222E-2</v>
      </c>
      <c r="M34">
        <f t="shared" si="0"/>
        <v>4.4842999999999966E-3</v>
      </c>
    </row>
    <row r="35" spans="1:13" x14ac:dyDescent="0.35">
      <c r="A35" s="1">
        <v>45869</v>
      </c>
      <c r="B35">
        <v>3.7283999999999998E-2</v>
      </c>
      <c r="C35">
        <v>6.1269999999999996E-3</v>
      </c>
      <c r="D35">
        <v>1.5007E-2</v>
      </c>
      <c r="E35">
        <v>1.6670999999999998E-2</v>
      </c>
      <c r="F35">
        <v>-1.1402000000000001E-2</v>
      </c>
      <c r="G35">
        <v>-9.1600000000000004E-4</v>
      </c>
      <c r="H35">
        <v>-9.0200000000000002E-4</v>
      </c>
      <c r="I35">
        <v>-2.0920000000000001E-2</v>
      </c>
      <c r="J35">
        <v>6.633E-3</v>
      </c>
      <c r="L35">
        <v>1.6976000000000002E-2</v>
      </c>
      <c r="M35">
        <f t="shared" si="0"/>
        <v>1.1554500000000002E-2</v>
      </c>
    </row>
    <row r="36" spans="1:13" x14ac:dyDescent="0.35">
      <c r="A36" s="1">
        <v>45898</v>
      </c>
      <c r="B36">
        <v>1.1762E-2</v>
      </c>
      <c r="C36">
        <v>3.1778000000000001E-2</v>
      </c>
      <c r="D36">
        <v>6.0485999999999998E-2</v>
      </c>
      <c r="E36">
        <v>8.5292000000000007E-2</v>
      </c>
      <c r="F36" s="12">
        <v>7.1000000000000005E-5</v>
      </c>
      <c r="G36">
        <v>8.8570000000000003E-3</v>
      </c>
      <c r="H36">
        <v>1.0401000000000001E-2</v>
      </c>
      <c r="I36">
        <v>4.5247000000000002E-2</v>
      </c>
      <c r="J36">
        <v>2.6771E-2</v>
      </c>
      <c r="L36">
        <v>6.7809999999999997E-3</v>
      </c>
      <c r="M36">
        <f t="shared" si="0"/>
        <v>-2.3962600000000001E-2</v>
      </c>
    </row>
    <row r="37" spans="1:13" x14ac:dyDescent="0.35">
      <c r="A37" s="1">
        <v>45930</v>
      </c>
      <c r="B37">
        <v>5.2191000000000001E-2</v>
      </c>
      <c r="C37">
        <v>1.4239999999999999E-2</v>
      </c>
      <c r="D37">
        <v>4.1320000000000003E-2</v>
      </c>
      <c r="E37">
        <v>2.0486000000000001E-2</v>
      </c>
      <c r="F37">
        <v>3.594E-2</v>
      </c>
      <c r="G37">
        <v>2.8830000000000001E-3</v>
      </c>
      <c r="H37">
        <v>1.8787999999999999E-2</v>
      </c>
      <c r="I37">
        <v>2.0660000000000001E-2</v>
      </c>
      <c r="J37">
        <v>7.0999000000000007E-2</v>
      </c>
      <c r="L37">
        <v>3.3679000000000001E-2</v>
      </c>
      <c r="M37">
        <f t="shared" si="0"/>
        <v>-1.1715999999999949E-3</v>
      </c>
    </row>
    <row r="38" spans="1:13" x14ac:dyDescent="0.35">
      <c r="A38" s="1">
        <v>45961</v>
      </c>
      <c r="B38">
        <v>3.6656000000000001E-2</v>
      </c>
      <c r="C38">
        <v>4.8139999999999997E-3</v>
      </c>
      <c r="D38">
        <v>3.3277000000000001E-2</v>
      </c>
      <c r="E38">
        <v>1.81E-3</v>
      </c>
      <c r="F38">
        <v>1.3807E-2</v>
      </c>
      <c r="G38">
        <v>3.3370000000000001E-3</v>
      </c>
      <c r="H38">
        <v>1.48E-3</v>
      </c>
      <c r="I38">
        <v>1.1995E-2</v>
      </c>
      <c r="J38">
        <v>3.5581000000000002E-2</v>
      </c>
      <c r="L38">
        <v>0</v>
      </c>
      <c r="M38">
        <f t="shared" si="0"/>
        <v>-1.78338E-2</v>
      </c>
    </row>
    <row r="39" spans="1:13" x14ac:dyDescent="0.35">
      <c r="A39" s="1">
        <v>45989</v>
      </c>
      <c r="B39">
        <v>-1.8801999999999999E-2</v>
      </c>
      <c r="C39">
        <v>2.6446000000000001E-2</v>
      </c>
      <c r="D39">
        <v>-7.7720000000000003E-3</v>
      </c>
      <c r="E39">
        <v>2.8792000000000002E-2</v>
      </c>
      <c r="F39">
        <v>2.7339999999999999E-3</v>
      </c>
      <c r="G39">
        <v>4.385E-3</v>
      </c>
      <c r="H39">
        <v>9.3259999999999992E-3</v>
      </c>
      <c r="I39">
        <v>7.4079999999999997E-3</v>
      </c>
      <c r="J39">
        <v>-1.7722000000000002E-2</v>
      </c>
      <c r="L39">
        <v>-1.3533999999999999E-2</v>
      </c>
      <c r="M39">
        <f t="shared" si="0"/>
        <v>-1.5241299999999999E-2</v>
      </c>
    </row>
    <row r="40" spans="1:13" x14ac:dyDescent="0.35">
      <c r="A40" s="1">
        <v>46022</v>
      </c>
      <c r="B40">
        <v>-5.6090000000000003E-3</v>
      </c>
      <c r="C40">
        <v>6.5909999999999996E-3</v>
      </c>
      <c r="D40">
        <v>-1.3384E-2</v>
      </c>
      <c r="E40">
        <v>1.4899999999999999E-4</v>
      </c>
      <c r="F40">
        <v>-2.6526999999999998E-2</v>
      </c>
      <c r="G40">
        <v>2.947E-3</v>
      </c>
      <c r="H40">
        <v>-7.3359999999999996E-3</v>
      </c>
      <c r="I40">
        <v>2.7189000000000001E-2</v>
      </c>
      <c r="J40">
        <v>2.1690000000000001E-2</v>
      </c>
      <c r="L40">
        <v>-1.2780000000000001E-3</v>
      </c>
      <c r="M40">
        <f t="shared" si="0"/>
        <v>-4.0180000000000007E-3</v>
      </c>
    </row>
    <row r="41" spans="1:13" x14ac:dyDescent="0.35">
      <c r="A41" t="s">
        <v>30</v>
      </c>
      <c r="B41" t="s">
        <v>5</v>
      </c>
      <c r="C41" s="2" t="s">
        <v>3</v>
      </c>
      <c r="D41" t="s">
        <v>9</v>
      </c>
      <c r="E41" t="s">
        <v>7</v>
      </c>
      <c r="F41" t="s">
        <v>14</v>
      </c>
      <c r="G41" t="s">
        <v>15</v>
      </c>
      <c r="H41" t="s">
        <v>16</v>
      </c>
      <c r="I41" t="s">
        <v>11</v>
      </c>
      <c r="J41" t="s">
        <v>12</v>
      </c>
      <c r="K41" s="5"/>
      <c r="L41" s="9" t="s">
        <v>1</v>
      </c>
      <c r="M41" t="s">
        <v>19</v>
      </c>
    </row>
    <row r="42" spans="1:13" x14ac:dyDescent="0.35">
      <c r="K42" t="s">
        <v>31</v>
      </c>
      <c r="L42">
        <f>_xlfn.VAR.S(L5:L40)</f>
        <v>1.3149326781682542E-3</v>
      </c>
      <c r="M42">
        <f>_xlfn.VAR.S(M5:M40)</f>
        <v>5.0739478959818251E-4</v>
      </c>
    </row>
    <row r="43" spans="1:13" x14ac:dyDescent="0.35">
      <c r="A43" s="9"/>
      <c r="B43" s="6"/>
      <c r="C43" s="6"/>
      <c r="D43" s="6"/>
      <c r="E43" s="6"/>
      <c r="F43" s="6"/>
      <c r="G43" s="6"/>
      <c r="H43" s="6"/>
      <c r="I43" s="6"/>
      <c r="J43" s="6"/>
    </row>
    <row r="44" spans="1:13" x14ac:dyDescent="0.35">
      <c r="A44" s="7"/>
      <c r="B44" s="6"/>
      <c r="C44" s="6"/>
      <c r="D44" s="6"/>
      <c r="E44" s="6"/>
      <c r="F44" s="6"/>
      <c r="G44" s="6"/>
      <c r="H44" s="6"/>
      <c r="I44" s="6"/>
      <c r="J44" s="6"/>
    </row>
    <row r="47" spans="1:13" x14ac:dyDescent="0.35">
      <c r="A47" s="9"/>
      <c r="B47" s="3"/>
    </row>
    <row r="48" spans="1:13" x14ac:dyDescent="0.35">
      <c r="A48" s="7"/>
      <c r="B4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Definitions</vt:lpstr>
      <vt:lpstr>LCGFX style-analysis</vt:lpstr>
      <vt:lpstr>MRLIX style-analysis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Gideon Saar</cp:lastModifiedBy>
  <cp:lastPrinted>2024-10-13T19:32:55Z</cp:lastPrinted>
  <dcterms:created xsi:type="dcterms:W3CDTF">2024-09-02T18:06:57Z</dcterms:created>
  <dcterms:modified xsi:type="dcterms:W3CDTF">2026-04-09T21:35:57Z</dcterms:modified>
</cp:coreProperties>
</file>